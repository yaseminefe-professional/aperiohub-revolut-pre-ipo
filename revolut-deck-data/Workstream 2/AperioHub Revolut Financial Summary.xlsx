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Summary " sheetId="1" r:id="rId4"/>
    <sheet state="visible" name="Peers" sheetId="2" r:id="rId5"/>
    <sheet state="visible" name="Projections" sheetId="3" r:id="rId6"/>
    <sheet state="visible" name="Returns " sheetId="4" r:id="rId7"/>
    <sheet state="visible" name="Sensitivity Table" sheetId="5" r:id="rId8"/>
    <sheet state="visible" name="IPO Comps" sheetId="6" r:id="rId9"/>
    <sheet state="visible" name="Funding Timeline" sheetId="7" r:id="rId10"/>
    <sheet state="visible" name="Guidance Check" sheetId="8" r:id="rId11"/>
  </sheets>
  <definedNames/>
  <calcPr/>
  <extLst>
    <ext uri="GoogleSheetsCustomDataVersion2">
      <go:sheetsCustomData xmlns:go="http://customooxmlschemas.google.com/" r:id="rId12" roundtripDataChecksum="SdSZJ31YjuaFYdHuZ57S9fVuLjzComNbWTrzzr8fuO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FY26 rate: 1.32 = spot GBP/USD around 9 Oct 2026 (mid ~1.323).
Method point: income statements are converted at the YEAR-AVERAGE rate. The 2026 year-to-date average is ~1.344 (PoundSterlingLive, to 16 Oct 2026). Using 1.344 would cut implied FY26 growth from 51% to 48%, the base exit from ~$129bn to ~$126bn, the expected IRR from ~5.6% to ~4.7% and the expected-case max entry range from ~$75–84bn to ~$74–82bn. Kept at 1.32 pending a team decision (see Change Log).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Market cap = July 2026 secondary; FY26 = company guidance; P/E uses est. net profit
======</t>
      </text>
    </comment>
    <comment authorId="0" ref="B6">
      <text>
        <t xml:space="preserve">Wise's fiscal year ends 31 March, so "last FY" = year to Mar 2026 and "next FY" = year to Mar 2027.
Check: this note originally said "price as of 25 Sep 2026", but the sheet header says 9 Oct 2026. Confirm which date Wise's market cap was taken on.
======</t>
      </text>
    </comment>
    <comment authorId="0" ref="G11">
      <text>
        <t xml:space="preserve">2025
======</t>
      </text>
    </comment>
    <comment authorId="0" ref="B4">
      <text>
        <t xml:space="preserve">Reported total revenue, incl. interest income, comparable to Revolut
======</t>
      </text>
    </comment>
    <comment authorId="0" ref="J11">
      <text>
        <t xml:space="preserve">Forward P/E = $115bn ÷ FY26 estimated net profit (Projections!I10: $3.5bn guided pretax profit × (1 − FY25 tax rate)). Previously typed as =C11/2.66.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Exit in about 2028/29, after the IPO and a six month lock-up, so a 2.5 year hold. Exit value is the average of the P/S and P/E methods. Effective tax rate is 24% (FY25 actual). Higher multiples than today are tested in the sensitivity table.
======</t>
      </text>
    </comment>
    <comment authorId="0" ref="B12">
      <text>
        <t xml:space="preserve">Bull: market keeps today’s premium. Base: premium halves. Bear: priced like peers
======</t>
      </text>
    </comment>
    <comment authorId="0" ref="C12">
      <text>
        <t xml:space="preserve">Growth slows by a factor of 0.76 a year, the same as in FY24, so revenue grows 39% in FY27 and 29% in FY28. Pretax margin rises to 40% thanks to operating leverage. The market keeps paying today’s multiples (12.8x forward sales, 43x earnings), even though growth is slower. Robinhood (18.6x sales) shows that high-margin fintechs can sustain this level.
======</t>
      </text>
    </comment>
    <comment authorId="0" ref="D12">
      <text>
        <t xml:space="preserve">BASE: growth slows by a factor of 0.64 a year, the same as in FY25, so revenue grows 33% in FY27 and 21% in FY28. Pretax margin stays at the FY26 guidance level of 39%.
Exit P/S = midpoint of Revolut's current forward multiple (12.8x) and the peer median (4.1x) ≈ 8.4x, i.e. the premium halves. Cross-check: the November 2025 round implied ~8.3x FY26 sales ($75bn ÷ $9bn). Exit P/E uses the same midpoint (32x), a placeholder assumption.
======</t>
      </text>
    </comment>
    <comment authorId="0" ref="C10">
      <text>
        <t xml:space="preserve">Margin gains keep shrinking (+10.9, +2.7, +1.0 points); Robinhood shows 40%+ is reachable
======</t>
      </text>
    </comment>
    <comment authorId="0" ref="E12">
      <text>
        <t xml:space="preserve">The slowdown continues its trend (0.76, then 0.64, then 0.52), so revenue grows 27% in FY27 and 14% in FY28. Pretax margin falls to 33% because of rate cuts and higher costs. Revolut loses its premium and is valued at the peer median (4.1x forward sales, 21x earnings).
======</t>
      </text>
    </comment>
    <comment authorId="0" ref="B8">
      <text>
        <t xml:space="preserve">using the slowdown factor based on revenue growth as a guide for the scenarios
======</t>
      </text>
    </comment>
    <comment authorId="0" ref="D10">
      <text>
        <t xml:space="preserve">FY26 management guidance held flat
======</t>
      </text>
    </comment>
    <comment authorId="0" ref="E10">
      <text>
        <t xml:space="preserve">Interest income was 21.6% of revenue in FY25. Suppose rate cuts reduce it by about a quarter:
Lost revenue = 21.6% × 25% ≈ 5.4% of revenue
That income has almost no costs attached, so profit falls by the same amount
New margin = (38.9 − 5.4) ÷ (100 − 5.4) ≈ 35.4%
Then subtract about 2 points for heavier spending on the US launch and compliance, which gives ~33%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5">
      <text>
        <t xml:space="preserve">FT (21 Apr 2026, via Decrypt): executives discussed a $150–200bn IPO valuation target; a source close to Revolut said no formal target is set. IPO ~2028 per Storonsky.
======</t>
      </text>
    </comment>
    <comment authorId="0" ref="C11">
      <text>
        <t xml:space="preserve">Per the client brief / workstream plan: return scenarios over a 2-year hold. The model hold (C6) is 2.5 years (IPO plus a six-month lock-up).
======</t>
      </text>
    </comment>
    <comment authorId="0" ref="B7">
      <text>
        <t xml:space="preserve">Target IRR of 20 to 25%, at the lower end of the 20 to 35% range academic studies give for pre-IPO investments. We use the lower end because Revolut is already profitable, has audited accounts and a banking licence, so it carries less risk than a typical pre-IPO company.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FY25 AR Note 27: 59.6m shares in issue (46.97m ordinary, 1.62m G, 10.98m H). $115B ÷ $2,017 implies ~57.0m shares, consistent with H shares (which only convert above a hurdle price) counting at less than one share each. Returns are unaffected as entry and exit are compared on the same basis.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Chime: $11.6bn at $27 (CNBC/NBC, 11 Jun 2025).
======</t>
      </text>
    </comment>
    <comment authorId="0" ref="F5">
      <text>
        <t xml:space="preserve">eToro: ~$4.2bn at the $52 IPO price (Fortune, via The Block, 13 May 2025).
======</t>
      </text>
    </comment>
    <comment authorId="0" ref="K5">
      <text>
        <t xml:space="preserve">Distorted: eToro reports crypto sold to customers at gross value, inflating revenue. Forward P/S uses analysts' revenue basis — treat eToro multiples with care.
======</t>
      </text>
    </comment>
    <comment authorId="0" ref="F7">
      <text>
        <t xml:space="preserve">Klarna: about $15.2bn fully diluted at $40 (Axios, 9–10 Sep 2025).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Last full-year revenue published before the deal (FY23 report, Jun 2024), converted at the FY average rate.
======</t>
      </text>
    </comment>
    <comment authorId="0" ref="B8">
      <text>
        <t xml:space="preserve">Exact day not disclosed; month per FY24 annual report and press.
======</t>
      </text>
    </comment>
    <comment authorId="0" ref="F9">
      <text>
        <t xml:space="preserve">Mostly secondary. The FY25 AR shows £647m net consideration for transactions in own equity during 2025 (p.151) and a further £291m equity increase after year end from the fundraising (p.198).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Straight line from ~75m (Jul 2026) to the 100m mid-2027 target ≈ +2.1m a month → ~85m by Dec 2026. Change this to test other paths.
======</t>
      </text>
    </comment>
    <comment authorId="0" ref="C15">
      <text>
        <t xml:space="preserve">Tech.eu, 22 Jul 2026: Revolut has over 75m retail customers.
======</t>
      </text>
    </comment>
  </commentList>
</comments>
</file>

<file path=xl/sharedStrings.xml><?xml version="1.0" encoding="utf-8"?>
<sst xmlns="http://schemas.openxmlformats.org/spreadsheetml/2006/main" count="356" uniqueCount="281">
  <si>
    <t>Revolut Financial Summary</t>
  </si>
  <si>
    <t>Metric</t>
  </si>
  <si>
    <t>FY2022</t>
  </si>
  <si>
    <t>FY2023</t>
  </si>
  <si>
    <t>FY2024</t>
  </si>
  <si>
    <t>FY2025</t>
  </si>
  <si>
    <t>FY2026G</t>
  </si>
  <si>
    <t>Source / note</t>
  </si>
  <si>
    <t>Black text = straight from reports</t>
  </si>
  <si>
    <t>Blue text = calculated (formulas)</t>
  </si>
  <si>
    <t>FX Assumptions (USD per GBP)</t>
  </si>
  <si>
    <t>Yellow highlight = per project brief</t>
  </si>
  <si>
    <t>Average Rate</t>
  </si>
  <si>
    <t>Annual averages of daily GBP/USD (PoundSterlingLive): 2022 1.236, 2023 1.244, 2024 1.278, 2025 1.319. Consistent with Revolut's own USD conversions (FY24 $4.0bn, FY25 $6.0bn).</t>
  </si>
  <si>
    <t xml:space="preserve">Red text = assumption </t>
  </si>
  <si>
    <t>Income Statement (GBP thousands)</t>
  </si>
  <si>
    <t>Revenue</t>
  </si>
  <si>
    <t>as of 9 of October 2026</t>
  </si>
  <si>
    <t xml:space="preserve">USD based </t>
  </si>
  <si>
    <t>“A” for actual, “G” for guidance, “E” for estimate</t>
  </si>
  <si>
    <t>Company</t>
  </si>
  <si>
    <t>Assumptions</t>
  </si>
  <si>
    <t>Market cap ($bn)</t>
  </si>
  <si>
    <t>Revenue last FY ($bn)</t>
  </si>
  <si>
    <t>Revenue next FY forecast ($bn)</t>
  </si>
  <si>
    <t>Revenue growth</t>
  </si>
  <si>
    <t>Net margin</t>
  </si>
  <si>
    <t>P/S trailing</t>
  </si>
  <si>
    <t>Bull</t>
  </si>
  <si>
    <t>P/S forward</t>
  </si>
  <si>
    <t>Inputs</t>
  </si>
  <si>
    <t>P/E forward</t>
  </si>
  <si>
    <t>Consolidated Statement of Comprehensive Income: FY25 AR p.96, FY24 AR p.80, FY23 AR p.97, FY22 AR p.83.</t>
  </si>
  <si>
    <t>Sources</t>
  </si>
  <si>
    <t>Nubank</t>
  </si>
  <si>
    <t>Base</t>
  </si>
  <si>
    <t>Entry Valuation (bln)</t>
  </si>
  <si>
    <t>Bear</t>
  </si>
  <si>
    <t>Company reports: FY23 +95%, FY24 +72%, FY25 +46%.</t>
  </si>
  <si>
    <t>of which interest income</t>
  </si>
  <si>
    <t>Investment (mln)</t>
  </si>
  <si>
    <t>Revenue slowdown factor</t>
  </si>
  <si>
    <t>Interest income line in the same statements (FY22–FY25 annual reports).</t>
  </si>
  <si>
    <t>Interest income share of revenue</t>
  </si>
  <si>
    <t>Holding period (years)</t>
  </si>
  <si>
    <t>BULL</t>
  </si>
  <si>
    <t>Target IRR (low)</t>
  </si>
  <si>
    <t>FY25A</t>
  </si>
  <si>
    <t>FY26G</t>
  </si>
  <si>
    <t>Target IRR (high)</t>
  </si>
  <si>
    <t>Key rate-sensitivity metric. Falls from 28% (FY23) to 22% (FY25).</t>
  </si>
  <si>
    <t xml:space="preserve"> FY27E</t>
  </si>
  <si>
    <t>Profit before tax</t>
  </si>
  <si>
    <t xml:space="preserve"> FY28E</t>
  </si>
  <si>
    <t>Target MOIC (low)</t>
  </si>
  <si>
    <t>https://stockanalysis.com/stocks/nu/statistics/</t>
  </si>
  <si>
    <t>Growth rate 27'</t>
  </si>
  <si>
    <t>FY22 loss of £25.4m per FY22 AR p.83 (tax credit gives £5.8m net profit). FY24 £1.09bn, FY25 £1.71bn per FY25 AR p.96.</t>
  </si>
  <si>
    <t>PBT margin</t>
  </si>
  <si>
    <t>Target MOIC (high)</t>
  </si>
  <si>
    <t>Company states FY24 35%, FY25 38%.</t>
  </si>
  <si>
    <t>Net profit</t>
  </si>
  <si>
    <t>Brief hold period (years)</t>
  </si>
  <si>
    <t>https://stockanalysis.com/stocks/nu/forecast/</t>
  </si>
  <si>
    <t>FY22 £6m (tax credit despite pretax loss).</t>
  </si>
  <si>
    <t xml:space="preserve">Source: https://equidam.com/resources/equidam-vc-method-paper.pdf </t>
  </si>
  <si>
    <t>Effective tax rate</t>
  </si>
  <si>
    <t>SoFi</t>
  </si>
  <si>
    <t>Revenue growth slowdown factor</t>
  </si>
  <si>
    <t>Scenario</t>
  </si>
  <si>
    <t>USD view (USD thousands )</t>
  </si>
  <si>
    <t>StockAnalysis: SoFi statistics and forecast</t>
  </si>
  <si>
    <t>Exit Value bln</t>
  </si>
  <si>
    <t>Revenue (USD)</t>
  </si>
  <si>
    <t>Growth rate 28'</t>
  </si>
  <si>
    <t>MOIC</t>
  </si>
  <si>
    <t>Proceeds mln</t>
  </si>
  <si>
    <t>Profit</t>
  </si>
  <si>
    <t>IRR</t>
  </si>
  <si>
    <t>Meets target?</t>
  </si>
  <si>
    <t>Probability</t>
  </si>
  <si>
    <t>Growth</t>
  </si>
  <si>
    <t xml:space="preserve">Converted at average rate. FY26G = $9bn per brief </t>
  </si>
  <si>
    <t>Revenue growth (USD)</t>
  </si>
  <si>
    <t>Wise</t>
  </si>
  <si>
    <t>StockAnalysis: Wise statistics</t>
  </si>
  <si>
    <t>Revenue 27'</t>
  </si>
  <si>
    <t>Profit before tax (USD)</t>
  </si>
  <si>
    <t>Converted at average rate. FY26G = $3.5bn per brief</t>
  </si>
  <si>
    <t>PBT margin (USD)</t>
  </si>
  <si>
    <t>Robinhood</t>
  </si>
  <si>
    <t>PBT</t>
  </si>
  <si>
    <t>Balance Sheet, Customers &amp; Other KPIs</t>
  </si>
  <si>
    <t>Customer deposits (GBP thousands)</t>
  </si>
  <si>
    <t>StockAnalysis: Robinhood statistics</t>
  </si>
  <si>
    <t>APM "Customer deposits" = on-balance-sheet bank deposits + e-money. FY25 AR p.200 (FY25, FY24); FY23 AR p.190 (FY23, FY22).</t>
  </si>
  <si>
    <t>Customer deposit growth</t>
  </si>
  <si>
    <t>Revenue 28'</t>
  </si>
  <si>
    <t>Total customer balances incl. partner savings (GBP thousands)</t>
  </si>
  <si>
    <t>Peer Minimum</t>
  </si>
  <si>
    <t>Deposits + off-balance-sheet savings with partners / Flexible Cash Funds. FY25 AR p.200; FY24 AR p.172; FY23 AR p.190.</t>
  </si>
  <si>
    <t>Retail customers (millions)</t>
  </si>
  <si>
    <t>PBT Margin</t>
  </si>
  <si>
    <t>FY23 AR highlights (FY22 26.2m, FY23 38.0m); FY25 AR highlights (FY24 52.5m, FY25 68.3m).</t>
  </si>
  <si>
    <t>Revenue per average retail customer (GBP)</t>
  </si>
  <si>
    <t>Revenue ÷ average of opening and closing retail customers.</t>
  </si>
  <si>
    <t>Revenue per customer growth</t>
  </si>
  <si>
    <t>Peer Median</t>
  </si>
  <si>
    <t>Expected</t>
  </si>
  <si>
    <t>Interest income growth</t>
  </si>
  <si>
    <t>Compare with total revenue growth (row 10): rate-sensitive income is growing more slowly.</t>
  </si>
  <si>
    <t>Peer Maximum</t>
  </si>
  <si>
    <t>Brief's rule-based scenarios (exit = $115B × brief multiplier, from Projections K30:K32)</t>
  </si>
  <si>
    <t>Effective Tax Rate</t>
  </si>
  <si>
    <t>IRR (brief hold)</t>
  </si>
  <si>
    <t>IRR (model hold)</t>
  </si>
  <si>
    <t>Meets target? (brief hold)</t>
  </si>
  <si>
    <t>Bull (+50%)</t>
  </si>
  <si>
    <t>Revolut</t>
  </si>
  <si>
    <t>Exit P/S</t>
  </si>
  <si>
    <t>Base (flat)</t>
  </si>
  <si>
    <t xml:space="preserve"> FY26G</t>
  </si>
  <si>
    <t>Exit P/E</t>
  </si>
  <si>
    <t>Bear (−30%)</t>
  </si>
  <si>
    <t>BASE</t>
  </si>
  <si>
    <t>Entry Valuation</t>
  </si>
  <si>
    <t>Revolut premium vs median</t>
  </si>
  <si>
    <t>Management-anchored scenarios (CEO's reported IPO target of $150–200B, FT, Apr 2026)</t>
  </si>
  <si>
    <t>Meets target? (model hold)</t>
  </si>
  <si>
    <t>CEO low</t>
  </si>
  <si>
    <t xml:space="preserve">Refresh check: market caps at the 16 Oct 2026 close (StockAnalysis). Not linked to the model </t>
  </si>
  <si>
    <t>Market cap 9 Oct ($bn)</t>
  </si>
  <si>
    <t>Market cap 16 Oct ($bn)</t>
  </si>
  <si>
    <t>Change</t>
  </si>
  <si>
    <t>CEO mid</t>
  </si>
  <si>
    <t>Median change</t>
  </si>
  <si>
    <t>CEO high</t>
  </si>
  <si>
    <t>VC method: maximum entry valuation that still delivers the target IRR</t>
  </si>
  <si>
    <t>Max entry = exit value ÷ (1 + target IRR) ^ hold period. Discount = how far below $115B the entry must be (negative = the target is met even above $115B).</t>
  </si>
  <si>
    <t>Exit anchor</t>
  </si>
  <si>
    <t>Max entry @ low IRR (model hold)</t>
  </si>
  <si>
    <t>BEAR</t>
  </si>
  <si>
    <t>Max entry @ high IRR (model hold)</t>
  </si>
  <si>
    <t>Max entry @ low IRR (brief hold)</t>
  </si>
  <si>
    <t>Max entry @ high IRR (brief hold)</t>
  </si>
  <si>
    <t>Discount needed (low IRR, model hold)</t>
  </si>
  <si>
    <t>Discount needed (high IRR, model hold)</t>
  </si>
  <si>
    <t>Model bull</t>
  </si>
  <si>
    <t>Model base</t>
  </si>
  <si>
    <t>Sensitivity analysis (USD, $bn)</t>
  </si>
  <si>
    <t>1. IRR by entry valuation and hold period</t>
  </si>
  <si>
    <t>Model bear</t>
  </si>
  <si>
    <t>Exit case (pick from list)</t>
  </si>
  <si>
    <t>Exit valuation</t>
  </si>
  <si>
    <t>Exit value ($bn)</t>
  </si>
  <si>
    <t>2028 revenue</t>
  </si>
  <si>
    <t>Model expected</t>
  </si>
  <si>
    <t>Value (P/S)</t>
  </si>
  <si>
    <t>2028 net profit</t>
  </si>
  <si>
    <t>Value (P/E)</t>
  </si>
  <si>
    <t>Average</t>
  </si>
  <si>
    <t>vs $115B</t>
  </si>
  <si>
    <t>Brief’s version</t>
  </si>
  <si>
    <t>Brief bull (+50%)</t>
  </si>
  <si>
    <t>Case</t>
  </si>
  <si>
    <t>Brief base (flat)</t>
  </si>
  <si>
    <t>Entry valuation ($bn) ↓  /  Hold period (years) →</t>
  </si>
  <si>
    <t>CEO low ($150B)</t>
  </si>
  <si>
    <t>CEO high ($200B)</t>
  </si>
  <si>
    <t>Max entry range, expected case ($bn)</t>
  </si>
  <si>
    <t>CEO $150B</t>
  </si>
  <si>
    <t>← high-IRR (25%) and low-IRR (20%) bounds over the model hold; this is the "$75–84bn" in the 15 Oct notes</t>
  </si>
  <si>
    <t>CEO $200B</t>
  </si>
  <si>
    <t>Simplification: the exit value is held constant across hold periods (a longer hold would in reality mean a later exit on a larger revenue base).</t>
  </si>
  <si>
    <t>2. Exit valuation ($bn) by exit P/S multiple and FY2027 revenue</t>
  </si>
  <si>
    <t>FY27E revenue in our scenarios ($bn):</t>
  </si>
  <si>
    <t>FY27 revenue ($bn) ↓  /  Exit P/S →</t>
  </si>
  <si>
    <t>Recent fintech IPOs: what they priced at and where they trade now</t>
  </si>
  <si>
    <t xml:space="preserve">Market data: StockAnalysis, close of 16 Oct 2026. IPO price and valuation: pricing announcements and press coverage </t>
  </si>
  <si>
    <t>Ticker</t>
  </si>
  <si>
    <t>Entry valuation ($bn)</t>
  </si>
  <si>
    <t>IPO date</t>
  </si>
  <si>
    <t>IPO price ($)</t>
  </si>
  <si>
    <t>Valuation at IPO ($bn)</t>
  </si>
  <si>
    <t>Price 16 Oct 2026 ($)</t>
  </si>
  <si>
    <t>Share price vs IPO</t>
  </si>
  <si>
    <t>Market cap 16 Oct 2026 ($bn)</t>
  </si>
  <si>
    <t>Market cap vs IPO valuation</t>
  </si>
  <si>
    <t>Trailing P/S</t>
  </si>
  <si>
    <t>Forward P/S</t>
  </si>
  <si>
    <t>Source</t>
  </si>
  <si>
    <t>eToro</t>
  </si>
  <si>
    <t>ETOR</t>
  </si>
  <si>
    <t>Exit needed for target IRR ($bn)</t>
  </si>
  <si>
    <t>IPO pricing coverage</t>
  </si>
  <si>
    <t>Chime</t>
  </si>
  <si>
    <t>CHYM</t>
  </si>
  <si>
    <t>Klarna</t>
  </si>
  <si>
    <t>KLAR</t>
  </si>
  <si>
    <t>Green = exit value high enough for the target IRR from a $115B entry over the model hold (Returns!C9 × C4). Red = below the $115B entry price.</t>
  </si>
  <si>
    <t>3. Dilution check: IRR (model hold) if the client's stake is diluted before exit</t>
  </si>
  <si>
    <t>Headline returns assume no dilution. FY25 AR: 2.8m options/RSUs outstanding vs ~59.6m shares in issue (incl. 11.0m H shares that convert above a hurdle price); press reports (FT) of a CEO share award worth up to ~10% at ~$150B.</t>
  </si>
  <si>
    <t>Dilution ↓  /  Scenario →</t>
  </si>
  <si>
    <t>Median</t>
  </si>
  <si>
    <t>Revolut at the July 2026 secondary</t>
  </si>
  <si>
    <t>What this tells the committee</t>
  </si>
  <si>
    <t>• Two of the three trade 50–70% below their IPO price; only Chime is above it. Strong after-market demand is not guaranteed for fintech listings.</t>
  </si>
  <si>
    <t>• Even Chime, the best performer, trades on ~4.6x trailing sales — a quarter of the ~19x Revolut is priced at today.</t>
  </si>
  <si>
    <t>• Supports the WS4 risk "valuation compression at IPO" and argues against assuming Revolut keeps today's multiple through an IPO (the model bull case does).</t>
  </si>
  <si>
    <t>Revolut funding and valuation timeline</t>
  </si>
  <si>
    <t>Date</t>
  </si>
  <si>
    <t>Event</t>
  </si>
  <si>
    <t>Type</t>
  </si>
  <si>
    <t>Valuation ($bn)</t>
  </si>
  <si>
    <t>Size ($m)</t>
  </si>
  <si>
    <t>Lead / key investors or detail</t>
  </si>
  <si>
    <t>Step-up vs previous</t>
  </si>
  <si>
    <t>Last reported FY revenue ($bn)</t>
  </si>
  <si>
    <t>Valuation ÷ last FY revenue</t>
  </si>
  <si>
    <t>Series C</t>
  </si>
  <si>
    <t>Primary</t>
  </si>
  <si>
    <t>DST Global (lead); Index Ventures, Ribbit Capital</t>
  </si>
  <si>
    <t>TechCrunch, 25 Apr 2018</t>
  </si>
  <si>
    <t>Series D</t>
  </si>
  <si>
    <t>TCV (lead)</t>
  </si>
  <si>
    <t>CNBC, 24 Feb 2020</t>
  </si>
  <si>
    <t>Series E</t>
  </si>
  <si>
    <t>SoftBank Vision Fund 2, Tiger Global</t>
  </si>
  <si>
    <t>FY22 annual report (investors section); Global Venturing</t>
  </si>
  <si>
    <t>Secondary share sale</t>
  </si>
  <si>
    <t>Secondary</t>
  </si>
  <si>
    <t>n/d</t>
  </si>
  <si>
    <t>New investors incl. Coatue, Durable, Dragoneer, Fidelity, Baillie Gifford, Goldman Sachs Alternatives, D1, Mubadala, Affinity Partners</t>
  </si>
  <si>
    <t>FY2026 guidance check: what has to be true for $9B revenue</t>
  </si>
  <si>
    <t>A. Revenue</t>
  </si>
  <si>
    <t>FY26 guidance revenue ($ thousands)</t>
  </si>
  <si>
    <t>FY24 annual report (CFO letter)</t>
  </si>
  <si>
    <t>Fundraise (secondary sale + new shares)</t>
  </si>
  <si>
    <t>Mixed</t>
  </si>
  <si>
    <t>Led by Coatue, Greenoaks, Dragoneer, Fidelity; with a16z, Franklin Templeton, T. Rowe Price, NVentures (Nvidia)</t>
  </si>
  <si>
    <t>FX rate used for FY26 (USD per GBP)</t>
  </si>
  <si>
    <t>FY25 annual report pp.14, 151, 198</t>
  </si>
  <si>
    <t>Company-run secondary sale</t>
  </si>
  <si>
    <t>Implied FY26 revenue growth</t>
  </si>
  <si>
    <t>~$2,017 per share; buyers not disclosed</t>
  </si>
  <si>
    <t>FY25 actual revenue growth</t>
  </si>
  <si>
    <t>Tech.eu, 22 Jul 2026</t>
  </si>
  <si>
    <t>FY25 interest income growth</t>
  </si>
  <si>
    <t>FY26 guided PBT margin ($3.5B ÷ $9.0B)</t>
  </si>
  <si>
    <t>FY25 actual PBT margin</t>
  </si>
  <si>
    <t>Forge Global price mark (not a transaction)</t>
  </si>
  <si>
    <t>Market mark</t>
  </si>
  <si>
    <t>B. Customers</t>
  </si>
  <si>
    <t>n/a</t>
  </si>
  <si>
    <t>$2,125 per share on the Forge secondary marketplace</t>
  </si>
  <si>
    <t>Retail customers, end FY24 (m)</t>
  </si>
  <si>
    <t>Retail customers, end FY25 (m)</t>
  </si>
  <si>
    <t>Startup Fortune, 18 Oct 2026</t>
  </si>
  <si>
    <t>Retail customers, Jul 2026 (m, reported "over 75m")</t>
  </si>
  <si>
    <t>Retail customers, end FY26 (m) — assumption</t>
  </si>
  <si>
    <t>Average customers FY25 (m)</t>
  </si>
  <si>
    <t>Average customers FY26 (m)</t>
  </si>
  <si>
    <t>Annualised valuation growth, Jul 2021 → Jul 2026</t>
  </si>
  <si>
    <t>Average customer growth FY26</t>
  </si>
  <si>
    <t>C. What the guidance requires</t>
  </si>
  <si>
    <t>IPO target, FT Apr 2026 ($bn, low / high)</t>
  </si>
  <si>
    <t>Revenue per customer growth REQUIRED in FY26</t>
  </si>
  <si>
    <t>Step-up needed from $115B to IPO target</t>
  </si>
  <si>
    <t>Revenue per customer growth ACHIEVED in FY25</t>
  </si>
  <si>
    <t>Reading the table</t>
  </si>
  <si>
    <t>Required ÷ achieved</t>
  </si>
  <si>
    <t>• Since 2024 each mark has priced Revolut at roughly 19–20x its last reported annual revenue (column J): the valuation has risen because revenue has, not because the multiple expanded.</t>
  </si>
  <si>
    <t>• Our $15M would be bought at a price that has risen ~53% in eight months ($75B → $115B); the IPO target needs a further 30–74% on top.</t>
  </si>
  <si>
    <t>D. Sensitivity: end-FY26 customers</t>
  </si>
  <si>
    <t>End-FY26 retail customers (m)</t>
  </si>
  <si>
    <t>Revenue per customer growth required</t>
  </si>
  <si>
    <t>Notes</t>
  </si>
  <si>
    <t>• Guidance implies growth re-accelerates (FY25 +46% → FY26 ~+51%) while interest income, ~22% of revenue, grew only ~23% in FY25 as rates fell.</t>
  </si>
  <si>
    <t>• Unless customers grow much faster than in 2025, revenue per customer must rise roughly twice as fast as it did in FY25 (C24).</t>
  </si>
  <si>
    <t>• Group H1 2026 results are not public. Quarterly figures on data sites (e.g. Q1 2026, in EUR) cover Revolut Bank UAB only — not the group.</t>
  </si>
  <si>
    <t>• Source of $9B / $3.5B: Storonsky interview (Dec 2025), reported by Connecting the Dots in FinTech; it does not say whether $3.5B is pretax.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</si>
</sst>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0.0"/>
    <numFmt numFmtId="166" formatCode="#,##0.0"/>
    <numFmt numFmtId="167" formatCode="0.0&quot; yrs&quot;"/>
    <numFmt numFmtId="168" formatCode="\$0&quot;bn&quot;"/>
    <numFmt numFmtId="169" formatCode="0.0\x"/>
    <numFmt numFmtId="170" formatCode="\$0.0&quot;bn&quot;"/>
    <numFmt numFmtId="171" formatCode="d\ mmm\ yyyy"/>
    <numFmt numFmtId="172" formatCode="mmm\ yyyy"/>
  </numFmts>
  <fonts count="21">
    <font>
      <sz val="11.0"/>
      <color theme="1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rgb="FFD52E2E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rgb="FF0070C0"/>
      <name val="Aptos Narrow"/>
    </font>
    <font>
      <u/>
      <sz val="11.0"/>
      <color rgb="FF467886"/>
      <name val="Arial"/>
    </font>
    <font>
      <u/>
      <sz val="11.0"/>
      <color rgb="FF0000FF"/>
      <name val="Arial"/>
    </font>
    <font>
      <u/>
      <sz val="11.0"/>
      <color rgb="FF0000FF"/>
      <name val="Cambria"/>
    </font>
    <font>
      <sz val="11.0"/>
      <color rgb="FF0070C0"/>
      <name val="Arial"/>
    </font>
    <font>
      <sz val="11.0"/>
      <color rgb="FFFFFFFF"/>
      <name val="Arial"/>
    </font>
    <font>
      <sz val="11.0"/>
      <color rgb="FFD52E2E"/>
      <name val="Aptos Narrow"/>
    </font>
    <font>
      <b/>
      <sz val="11.0"/>
      <color rgb="FF0070C0"/>
      <name val="Arial"/>
    </font>
    <font>
      <i/>
      <sz val="11.0"/>
      <color theme="1"/>
      <name val="Arial"/>
    </font>
    <font>
      <b/>
      <sz val="13.0"/>
      <color theme="1"/>
      <name val="Arial"/>
    </font>
    <font>
      <b/>
      <sz val="11.0"/>
      <color rgb="FFFFFFFF"/>
      <name val="Aptos Narrow"/>
    </font>
    <font>
      <sz val="11.0"/>
      <color theme="4"/>
      <name val="Arial"/>
    </font>
    <font>
      <b/>
      <sz val="11.0"/>
      <color rgb="FFD52E2E"/>
      <name val="Arial"/>
    </font>
    <font>
      <u/>
      <sz val="11.0"/>
      <color rgb="FF46788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1C4587"/>
        <bgColor rgb="FF1C4587"/>
      </patternFill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/>
      <right style="thin">
        <color rgb="FFFFFFFF"/>
      </right>
      <top/>
      <bottom/>
    </border>
    <border>
      <left/>
      <right/>
      <top/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  <border>
      <left/>
      <right style="thin">
        <color rgb="FFFFFFFF"/>
      </right>
      <top/>
      <bottom style="thin">
        <color rgb="FFFFFFFF"/>
      </bottom>
    </border>
    <border>
      <top style="thin">
        <color rgb="FFFFFFFF"/>
      </top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3" xfId="0" applyAlignment="1" applyFont="1" applyNumberFormat="1">
      <alignment shrinkToFit="0" vertical="bottom" wrapText="0"/>
    </xf>
    <xf borderId="3" fillId="3" fontId="6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4" fontId="6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5" fillId="4" fontId="6" numFmtId="0" xfId="0" applyAlignment="1" applyBorder="1" applyFill="1" applyFont="1">
      <alignment shrinkToFit="0" vertical="bottom" wrapText="0"/>
    </xf>
    <xf borderId="6" fillId="3" fontId="6" numFmtId="0" xfId="0" applyAlignment="1" applyBorder="1" applyFill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7" fillId="3" fontId="6" numFmtId="0" xfId="0" applyAlignment="1" applyBorder="1" applyFill="1" applyFont="1">
      <alignment shrinkToFit="0" vertical="bottom" wrapText="0"/>
    </xf>
    <xf borderId="1" fillId="5" fontId="1" numFmtId="3" xfId="0" applyAlignment="1" applyBorder="1" applyFill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1" fillId="5" fontId="4" numFmtId="3" xfId="0" applyAlignment="1" applyBorder="1" applyFill="1" applyFont="1" applyNumberFormat="1">
      <alignment shrinkToFit="0" vertical="bottom" wrapText="0"/>
    </xf>
    <xf borderId="8" fillId="3" fontId="6" numFmtId="0" xfId="0" applyAlignment="1" applyBorder="1" applyFill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1" fillId="6" fontId="4" numFmtId="0" xfId="0" applyAlignment="1" applyBorder="1" applyFill="1" applyFont="1">
      <alignment shrinkToFit="0" vertical="bottom" wrapText="0"/>
    </xf>
    <xf borderId="1" fillId="5" fontId="4" numFmtId="10" xfId="0" applyAlignment="1" applyBorder="1" applyFill="1" applyFont="1" applyNumberFormat="1">
      <alignment shrinkToFit="0" vertical="bottom" wrapText="0"/>
    </xf>
    <xf borderId="1" fillId="5" fontId="1" numFmtId="2" xfId="0" applyAlignment="1" applyBorder="1" applyFill="1" applyFont="1" applyNumberFormat="1">
      <alignment shrinkToFit="0" vertical="bottom" wrapText="0"/>
    </xf>
    <xf borderId="9" fillId="4" fontId="6" numFmtId="0" xfId="0" applyAlignment="1" applyBorder="1" applyFill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0" fillId="0" fontId="7" numFmtId="10" xfId="0" applyAlignment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9" xfId="0" applyAlignment="1" applyFont="1" applyNumberFormat="1">
      <alignment shrinkToFit="0" vertical="bottom" wrapText="0"/>
    </xf>
    <xf borderId="10" fillId="4" fontId="12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6" fillId="4" fontId="12" numFmtId="0" xfId="0" applyAlignment="1" applyBorder="1" applyFill="1" applyFont="1">
      <alignment shrinkToFit="0" vertical="bottom" wrapText="0"/>
    </xf>
    <xf borderId="5" fillId="4" fontId="12" numFmtId="0" xfId="0" applyAlignment="1" applyBorder="1" applyFill="1" applyFont="1">
      <alignment shrinkToFit="0" vertical="bottom" wrapText="0"/>
    </xf>
    <xf borderId="1" fillId="6" fontId="4" numFmtId="3" xfId="0" applyAlignment="1" applyBorder="1" applyFill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5" fontId="1" numFmtId="165" xfId="0" applyAlignment="1" applyBorder="1" applyFill="1" applyFont="1" applyNumberForma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1" fillId="5" fontId="1" numFmtId="164" xfId="0" applyAlignment="1" applyBorder="1" applyFill="1" applyFont="1" applyNumberFormat="1">
      <alignment shrinkToFit="0" vertical="bottom" wrapText="0"/>
    </xf>
    <xf borderId="0" fillId="0" fontId="7" numFmtId="166" xfId="0" applyAlignment="1" applyFont="1" applyNumberForma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5" fontId="4" numFmtId="9" xfId="0" applyAlignment="1" applyBorder="1" applyFill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1" fillId="6" fontId="5" numFmtId="0" xfId="0" applyAlignment="1" applyBorder="1" applyFill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1" fillId="6" fontId="7" numFmtId="164" xfId="0" applyAlignment="1" applyBorder="1" applyFill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1" fillId="6" fontId="1" numFmtId="164" xfId="0" applyAlignment="1" applyBorder="1" applyFill="1" applyFont="1" applyNumberFormat="1">
      <alignment shrinkToFit="0" vertical="bottom" wrapText="0"/>
    </xf>
    <xf borderId="1" fillId="6" fontId="7" numFmtId="165" xfId="0" applyAlignment="1" applyBorder="1" applyFill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1" fillId="6" fontId="7" numFmtId="0" xfId="0" applyAlignment="1" applyBorder="1" applyFill="1" applyFont="1">
      <alignment shrinkToFit="0" vertical="bottom" wrapText="0"/>
    </xf>
    <xf borderId="9" fillId="4" fontId="12" numFmtId="0" xfId="0" applyAlignment="1" applyBorder="1" applyFill="1" applyFont="1">
      <alignment shrinkToFit="0" vertical="bottom" wrapText="0"/>
    </xf>
    <xf borderId="1" fillId="5" fontId="13" numFmtId="165" xfId="0" applyAlignment="1" applyBorder="1" applyFill="1" applyFont="1" applyNumberFormat="1">
      <alignment shrinkToFit="0" vertical="bottom" wrapText="0"/>
    </xf>
    <xf borderId="1" fillId="6" fontId="1" numFmtId="165" xfId="0" applyAlignment="1" applyBorder="1" applyFill="1" applyFont="1" applyNumberFormat="1">
      <alignment shrinkToFit="0" vertical="bottom" wrapText="0"/>
    </xf>
    <xf borderId="1" fillId="5" fontId="13" numFmtId="2" xfId="0" applyAlignment="1" applyBorder="1" applyFill="1" applyFont="1" applyNumberFormat="1">
      <alignment shrinkToFit="0" vertical="bottom" wrapText="0"/>
    </xf>
    <xf borderId="1" fillId="5" fontId="13" numFmtId="0" xfId="0" applyAlignment="1" applyBorder="1" applyFill="1" applyFont="1">
      <alignment shrinkToFit="0" vertical="bottom" wrapText="0"/>
    </xf>
    <xf borderId="1" fillId="5" fontId="13" numFmtId="10" xfId="0" applyAlignment="1" applyBorder="1" applyFill="1" applyFont="1" applyNumberFormat="1">
      <alignment shrinkToFit="0" vertical="bottom" wrapText="0"/>
    </xf>
    <xf borderId="1" fillId="4" fontId="6" numFmtId="0" xfId="0" applyAlignment="1" applyBorder="1" applyFill="1" applyFont="1">
      <alignment horizontal="center" shrinkToFit="0" vertical="center" wrapText="1"/>
    </xf>
    <xf borderId="1" fillId="5" fontId="4" numFmtId="165" xfId="0" applyAlignment="1" applyBorder="1" applyFill="1" applyFont="1" applyNumberFormat="1">
      <alignment shrinkToFit="0" vertical="bottom" wrapText="0"/>
    </xf>
    <xf borderId="1" fillId="5" fontId="4" numFmtId="2" xfId="0" applyAlignment="1" applyBorder="1" applyFill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1" fillId="5" fontId="4" numFmtId="164" xfId="0" applyAlignment="1" applyBorder="1" applyFill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" numFmtId="9" xfId="0" applyAlignment="1" applyFont="1" applyNumberFormat="1">
      <alignment shrinkToFit="0" vertical="bottom" wrapText="0"/>
    </xf>
    <xf borderId="1" fillId="6" fontId="4" numFmtId="165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1" fillId="5" fontId="3" numFmtId="0" xfId="0" applyAlignment="1" applyBorder="1" applyFill="1" applyFont="1">
      <alignment readingOrder="0" shrinkToFit="0" vertical="bottom" wrapText="0"/>
    </xf>
    <xf borderId="4" fillId="4" fontId="17" numFmtId="0" xfId="0" applyAlignment="1" applyBorder="1" applyFill="1" applyFont="1">
      <alignment horizontal="center" shrinkToFit="0" vertical="bottom" wrapText="0"/>
    </xf>
    <xf borderId="3" fillId="4" fontId="17" numFmtId="0" xfId="0" applyAlignment="1" applyBorder="1" applyFill="1" applyFont="1">
      <alignment horizontal="center" shrinkToFit="0" vertical="bottom" wrapText="0"/>
    </xf>
    <xf borderId="6" fillId="4" fontId="17" numFmtId="0" xfId="0" applyAlignment="1" applyBorder="1" applyFill="1" applyFont="1">
      <alignment horizontal="center" shrinkToFit="0" vertical="bottom" wrapText="0"/>
    </xf>
    <xf borderId="1" fillId="5" fontId="11" numFmtId="165" xfId="0" applyAlignment="1" applyBorder="1" applyFill="1" applyFont="1" applyNumberForma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" fillId="5" fontId="18" numFmtId="164" xfId="0" applyAlignment="1" applyBorder="1" applyFill="1" applyFont="1" applyNumberFormat="1">
      <alignment shrinkToFit="0" vertical="bottom" wrapText="0"/>
    </xf>
    <xf borderId="1" fillId="4" fontId="6" numFmtId="167" xfId="0" applyAlignment="1" applyBorder="1" applyFill="1" applyFont="1" applyNumberFormat="1">
      <alignment horizontal="center" shrinkToFit="0" vertical="center" wrapText="0"/>
    </xf>
    <xf borderId="0" fillId="0" fontId="19" numFmtId="168" xfId="0" applyAlignment="1" applyFont="1" applyNumberFormat="1">
      <alignment horizontal="center" shrinkToFit="0" vertical="center" wrapText="0"/>
    </xf>
    <xf borderId="0" fillId="0" fontId="11" numFmtId="164" xfId="0" applyAlignment="1" applyFont="1" applyNumberFormat="1">
      <alignment horizontal="center" shrinkToFit="0" vertical="center" wrapText="0"/>
    </xf>
    <xf borderId="1" fillId="5" fontId="3" numFmtId="165" xfId="0" applyAlignment="1" applyBorder="1" applyFill="1" applyFont="1" applyNumberForma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vertical="center" wrapText="0"/>
    </xf>
    <xf borderId="1" fillId="4" fontId="6" numFmtId="169" xfId="0" applyAlignment="1" applyBorder="1" applyFill="1" applyFont="1" applyNumberFormat="1">
      <alignment horizontal="center" shrinkToFit="0" vertical="center" wrapText="0"/>
    </xf>
    <xf borderId="0" fillId="0" fontId="19" numFmtId="170" xfId="0" applyAlignment="1" applyFont="1" applyNumberFormat="1">
      <alignment horizontal="center" shrinkToFit="0" vertical="center" wrapText="0"/>
    </xf>
    <xf borderId="0" fillId="0" fontId="4" numFmtId="171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horizontal="center" shrinkToFit="0" vertical="center" wrapText="0"/>
    </xf>
    <xf borderId="0" fillId="0" fontId="4" numFmtId="2" xfId="0" applyAlignment="1" applyFont="1" applyNumberFormat="1">
      <alignment shrinkToFit="0" vertical="bottom" wrapText="0"/>
    </xf>
    <xf borderId="0" fillId="0" fontId="4" numFmtId="169" xfId="0" applyAlignment="1" applyFont="1" applyNumberFormat="1">
      <alignment shrinkToFit="0" vertical="bottom" wrapText="0"/>
    </xf>
    <xf borderId="0" fillId="0" fontId="19" numFmtId="9" xfId="0" applyAlignment="1" applyFont="1" applyNumberFormat="1">
      <alignment horizontal="center" shrinkToFit="0" vertical="center" wrapText="0"/>
    </xf>
    <xf borderId="0" fillId="0" fontId="14" numFmtId="169" xfId="0" applyAlignment="1" applyFont="1" applyNumberFormat="1">
      <alignment shrinkToFit="0" vertical="bottom" wrapText="0"/>
    </xf>
    <xf borderId="0" fillId="0" fontId="11" numFmtId="169" xfId="0" applyAlignment="1" applyFont="1" applyNumberFormat="1">
      <alignment shrinkToFit="0" vertical="bottom" wrapText="0"/>
    </xf>
    <xf borderId="0" fillId="0" fontId="4" numFmtId="172" xfId="0" applyAlignment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shrinkToFit="0" vertical="top" wrapText="0"/>
    </xf>
    <xf borderId="0" fillId="0" fontId="4" numFmtId="165" xfId="0" applyAlignment="1" applyFont="1" applyNumberFormat="1">
      <alignment shrinkToFit="0" vertical="top" wrapText="0"/>
    </xf>
    <xf borderId="0" fillId="0" fontId="4" numFmtId="3" xfId="0" applyAlignment="1" applyFont="1" applyNumberFormat="1">
      <alignment shrinkToFit="0" vertical="top" wrapText="0"/>
    </xf>
    <xf borderId="0" fillId="0" fontId="4" numFmtId="0" xfId="0" applyAlignment="1" applyFont="1">
      <alignment shrinkToFit="0" vertical="top" wrapText="1"/>
    </xf>
    <xf borderId="0" fillId="0" fontId="20" numFmtId="0" xfId="0" applyAlignment="1" applyFont="1">
      <alignment shrinkToFit="0" vertical="top" wrapText="0"/>
    </xf>
    <xf borderId="0" fillId="0" fontId="11" numFmtId="9" xfId="0" applyAlignment="1" applyFont="1" applyNumberFormat="1">
      <alignment shrinkToFit="0" vertical="top" wrapText="0"/>
    </xf>
    <xf borderId="0" fillId="0" fontId="11" numFmtId="2" xfId="0" applyAlignment="1" applyFont="1" applyNumberFormat="1">
      <alignment shrinkToFit="0" vertical="top" wrapText="0"/>
    </xf>
    <xf borderId="0" fillId="0" fontId="11" numFmtId="169" xfId="0" applyAlignment="1" applyFont="1" applyNumberFormat="1">
      <alignment shrinkToFit="0" vertical="top" wrapText="0"/>
    </xf>
    <xf borderId="0" fillId="0" fontId="11" numFmtId="3" xfId="0" applyAlignment="1" applyFont="1" applyNumberFormat="1">
      <alignment shrinkToFit="0" vertical="bottom" wrapText="0"/>
    </xf>
    <xf borderId="0" fillId="0" fontId="11" numFmtId="2" xfId="0" applyAlignment="1" applyFont="1" applyNumberFormat="1">
      <alignment shrinkToFit="0" vertical="bottom" wrapText="0"/>
    </xf>
    <xf borderId="0" fillId="0" fontId="4" numFmtId="3" xfId="0" applyAlignment="1" applyFont="1" applyNumberFormat="1">
      <alignment readingOrder="0" shrinkToFit="0" vertical="top" wrapText="0"/>
    </xf>
    <xf borderId="0" fillId="0" fontId="4" numFmtId="0" xfId="0" applyAlignment="1" applyFont="1">
      <alignment readingOrder="0" shrinkToFit="0" vertical="top" wrapText="1"/>
    </xf>
    <xf borderId="0" fillId="0" fontId="3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904875</xdr:colOff>
      <xdr:row>1</xdr:row>
      <xdr:rowOff>123825</xdr:rowOff>
    </xdr:from>
    <xdr:ext cx="4733925" cy="2828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stockanalysis.com/stocks/nu/statistics/" TargetMode="External"/><Relationship Id="rId3" Type="http://schemas.openxmlformats.org/officeDocument/2006/relationships/hyperlink" Target="https://stockanalysis.com/stocks/nu/forecast/" TargetMode="External"/><Relationship Id="rId4" Type="http://schemas.openxmlformats.org/officeDocument/2006/relationships/hyperlink" Target="https://stockanalysis.com/stocks/sofi/statistics/" TargetMode="External"/><Relationship Id="rId5" Type="http://schemas.openxmlformats.org/officeDocument/2006/relationships/hyperlink" Target="https://stockanalysis.com/stocks/wse/statistics/" TargetMode="External"/><Relationship Id="rId6" Type="http://schemas.openxmlformats.org/officeDocument/2006/relationships/hyperlink" Target="https://stockanalysis.com/stocks/hood/statistics/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equidam.com/resources/equidam-vc-method-paper.pdf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theblock.co/post/354207/etoro-prices-nasdaq-debut-52-surpassing-expectations" TargetMode="External"/><Relationship Id="rId3" Type="http://schemas.openxmlformats.org/officeDocument/2006/relationships/hyperlink" Target="https://www.nbcconnecticut.com/news/business/money-report/chime-prices-ipo-at-27-per-share-valuing-fintech-company-at-11-6-billion-ahead-of-nasdaq-debut/3585063/" TargetMode="External"/><Relationship Id="rId4" Type="http://schemas.openxmlformats.org/officeDocument/2006/relationships/hyperlink" Target="https://www.axios.com/pro/fintech-deals/2025/09/10/klarna-ipo-price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techcrunch.com/?p=1627761" TargetMode="External"/><Relationship Id="rId3" Type="http://schemas.openxmlformats.org/officeDocument/2006/relationships/hyperlink" Target="https://www.cnbc.com/2020/02/24/fintech-firm-revolut-bags-500-million-in-funding-round-led-by-tcv.html" TargetMode="External"/><Relationship Id="rId4" Type="http://schemas.openxmlformats.org/officeDocument/2006/relationships/hyperlink" Target="https://globalventuring.com/corporate/revolut-receives-800m-at-33bn-valuation/" TargetMode="External"/><Relationship Id="rId5" Type="http://schemas.openxmlformats.org/officeDocument/2006/relationships/hyperlink" Target="https://tech.eu/2026/07/22/revolut-confirms-fresh-secondary-share-sale-at-reported-115bn-valuation/" TargetMode="External"/><Relationship Id="rId6" Type="http://schemas.openxmlformats.org/officeDocument/2006/relationships/hyperlink" Target="https://startupfortune.com/revolut-hits-a-1212-billion-valuation-mark-as-ipo-talk-turns-serious/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46.0"/>
    <col customWidth="1" min="3" max="3" width="17.13"/>
    <col customWidth="1" min="4" max="5" width="14.13"/>
    <col customWidth="1" min="6" max="6" width="14.25"/>
    <col customWidth="1" min="7" max="7" width="13.13"/>
    <col customWidth="1" min="8" max="8" width="55.5"/>
  </cols>
  <sheetData>
    <row r="1" ht="14.25" customHeight="1">
      <c r="A1" s="1" t="s">
        <v>0</v>
      </c>
    </row>
    <row r="2" ht="14.25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14.25" customHeight="1">
      <c r="A3" s="1" t="s">
        <v>8</v>
      </c>
      <c r="B3" s="2"/>
      <c r="C3" s="2"/>
      <c r="D3" s="2"/>
      <c r="E3" s="2"/>
      <c r="F3" s="2"/>
      <c r="G3" s="2"/>
      <c r="H3" s="2"/>
    </row>
    <row r="4" ht="14.25" customHeight="1">
      <c r="A4" s="1" t="s">
        <v>9</v>
      </c>
      <c r="B4" s="3" t="s">
        <v>10</v>
      </c>
      <c r="C4" s="2"/>
      <c r="D4" s="2"/>
      <c r="E4" s="2"/>
      <c r="F4" s="2"/>
      <c r="G4" s="2"/>
      <c r="H4" s="2"/>
    </row>
    <row r="5" ht="14.25" customHeight="1">
      <c r="A5" s="1" t="s">
        <v>11</v>
      </c>
      <c r="B5" s="1" t="s">
        <v>12</v>
      </c>
      <c r="C5" s="1">
        <v>1.24</v>
      </c>
      <c r="D5" s="1">
        <v>1.24</v>
      </c>
      <c r="E5" s="1">
        <v>1.28</v>
      </c>
      <c r="F5" s="1">
        <v>1.32</v>
      </c>
      <c r="G5" s="4">
        <v>1.32</v>
      </c>
      <c r="H5" s="1" t="s">
        <v>13</v>
      </c>
    </row>
    <row r="6" ht="14.25" customHeight="1">
      <c r="A6" s="5" t="s">
        <v>14</v>
      </c>
    </row>
    <row r="7" ht="14.25" customHeight="1"/>
    <row r="8" ht="14.25" customHeight="1">
      <c r="B8" s="6" t="s">
        <v>15</v>
      </c>
    </row>
    <row r="9" ht="14.25" customHeight="1">
      <c r="B9" s="1" t="s">
        <v>16</v>
      </c>
      <c r="C9" s="7">
        <v>922547.0</v>
      </c>
      <c r="D9" s="7">
        <v>1797890.0</v>
      </c>
      <c r="E9" s="7">
        <v>3090043.0</v>
      </c>
      <c r="F9" s="7">
        <v>4515770.0</v>
      </c>
      <c r="G9" s="11">
        <f>G20/G5</f>
        <v>6818181.818</v>
      </c>
      <c r="H9" s="1" t="s">
        <v>32</v>
      </c>
    </row>
    <row r="10" ht="14.25" customHeight="1">
      <c r="B10" s="1" t="s">
        <v>25</v>
      </c>
      <c r="D10" s="19">
        <f t="shared" ref="D10:G10" si="1">(D$9-C$9)/C$9</f>
        <v>0.9488329592</v>
      </c>
      <c r="E10" s="19">
        <f t="shared" si="1"/>
        <v>0.7187052601</v>
      </c>
      <c r="F10" s="19">
        <f t="shared" si="1"/>
        <v>0.4613939029</v>
      </c>
      <c r="G10" s="19">
        <f t="shared" si="1"/>
        <v>0.5098602936</v>
      </c>
      <c r="H10" s="1" t="s">
        <v>38</v>
      </c>
    </row>
    <row r="11" ht="14.25" customHeight="1">
      <c r="B11" s="1" t="s">
        <v>39</v>
      </c>
      <c r="C11" s="7">
        <v>82689.0</v>
      </c>
      <c r="D11" s="7">
        <v>499561.0</v>
      </c>
      <c r="E11" s="7">
        <v>790240.0</v>
      </c>
      <c r="F11" s="7">
        <v>974159.0</v>
      </c>
      <c r="H11" s="1" t="s">
        <v>42</v>
      </c>
    </row>
    <row r="12" ht="14.25" customHeight="1">
      <c r="B12" s="1" t="s">
        <v>43</v>
      </c>
      <c r="C12" s="19">
        <f t="shared" ref="C12:F12" si="2">C$11/C$9</f>
        <v>0.08963120578</v>
      </c>
      <c r="D12" s="19">
        <f t="shared" si="2"/>
        <v>0.2778596021</v>
      </c>
      <c r="E12" s="19">
        <f t="shared" si="2"/>
        <v>0.2557375415</v>
      </c>
      <c r="F12" s="19">
        <f t="shared" si="2"/>
        <v>0.2157237858</v>
      </c>
      <c r="H12" s="1" t="s">
        <v>50</v>
      </c>
    </row>
    <row r="13" ht="14.25" customHeight="1">
      <c r="B13" s="1" t="s">
        <v>52</v>
      </c>
      <c r="C13" s="7">
        <v>-25418.0</v>
      </c>
      <c r="D13" s="7">
        <v>437828.0</v>
      </c>
      <c r="E13" s="7">
        <v>1088730.0</v>
      </c>
      <c r="F13" s="7">
        <v>1713273.0</v>
      </c>
      <c r="G13" s="11">
        <f>G22/G5</f>
        <v>2651515.152</v>
      </c>
      <c r="H13" s="1" t="s">
        <v>57</v>
      </c>
    </row>
    <row r="14" ht="14.25" customHeight="1">
      <c r="B14" s="1" t="s">
        <v>58</v>
      </c>
      <c r="C14" s="19">
        <f t="shared" ref="C14:G14" si="3">C$13/C$9</f>
        <v>-0.0275519838</v>
      </c>
      <c r="D14" s="19">
        <f t="shared" si="3"/>
        <v>0.2435232411</v>
      </c>
      <c r="E14" s="19">
        <f t="shared" si="3"/>
        <v>0.3523349028</v>
      </c>
      <c r="F14" s="19">
        <f t="shared" si="3"/>
        <v>0.379397755</v>
      </c>
      <c r="G14" s="19">
        <f t="shared" si="3"/>
        <v>0.3888888889</v>
      </c>
      <c r="H14" s="1" t="s">
        <v>60</v>
      </c>
    </row>
    <row r="15" ht="14.25" customHeight="1">
      <c r="B15" s="1" t="s">
        <v>61</v>
      </c>
      <c r="C15" s="7">
        <v>5802.0</v>
      </c>
      <c r="D15" s="7">
        <v>344075.0</v>
      </c>
      <c r="E15" s="7">
        <v>790426.0</v>
      </c>
      <c r="F15" s="7">
        <v>1304628.0</v>
      </c>
      <c r="G15" s="11">
        <f>G13*(1-F17)</f>
        <v>2019083.304</v>
      </c>
      <c r="H15" s="1" t="s">
        <v>64</v>
      </c>
    </row>
    <row r="16" ht="14.25" customHeight="1">
      <c r="B16" s="1" t="s">
        <v>26</v>
      </c>
      <c r="C16" s="19">
        <f t="shared" ref="C16:F16" si="4">C$15/C$9</f>
        <v>0.006289110474</v>
      </c>
      <c r="D16" s="19">
        <f t="shared" si="4"/>
        <v>0.1913771143</v>
      </c>
      <c r="E16" s="19">
        <f t="shared" si="4"/>
        <v>0.2557977349</v>
      </c>
      <c r="F16" s="19">
        <f t="shared" si="4"/>
        <v>0.2889048822</v>
      </c>
      <c r="G16" s="34">
        <f>G15/G9</f>
        <v>0.2961322179</v>
      </c>
    </row>
    <row r="17" ht="14.25" customHeight="1">
      <c r="B17" s="5" t="s">
        <v>66</v>
      </c>
      <c r="F17" s="34">
        <f>1-(F15/F13)</f>
        <v>0.238517154</v>
      </c>
    </row>
    <row r="18" ht="14.25" customHeight="1">
      <c r="B18" s="5" t="s">
        <v>68</v>
      </c>
      <c r="E18" s="38">
        <f t="shared" ref="E18:F18" si="5">(E10/D10)</f>
        <v>0.7574623679</v>
      </c>
      <c r="F18" s="38">
        <f t="shared" si="5"/>
        <v>0.6419793044</v>
      </c>
    </row>
    <row r="19" ht="14.25" customHeight="1">
      <c r="B19" s="40" t="s">
        <v>70</v>
      </c>
    </row>
    <row r="20" ht="14.25" customHeight="1">
      <c r="B20" s="1" t="s">
        <v>73</v>
      </c>
      <c r="C20" s="11">
        <f t="shared" ref="C20:F20" si="6">C$9*C$5</f>
        <v>1143958.28</v>
      </c>
      <c r="D20" s="11">
        <f t="shared" si="6"/>
        <v>2229383.6</v>
      </c>
      <c r="E20" s="11">
        <f t="shared" si="6"/>
        <v>3955255.04</v>
      </c>
      <c r="F20" s="11">
        <f t="shared" si="6"/>
        <v>5960816.4</v>
      </c>
      <c r="G20" s="43">
        <v>9000000.0</v>
      </c>
      <c r="H20" s="1" t="s">
        <v>82</v>
      </c>
    </row>
    <row r="21" ht="14.25" customHeight="1">
      <c r="B21" s="1" t="s">
        <v>83</v>
      </c>
      <c r="C21" s="44"/>
      <c r="D21" s="19">
        <f t="shared" ref="D21:G21" si="7">D$20/C$20-1</f>
        <v>0.9488329592</v>
      </c>
      <c r="E21" s="19">
        <f t="shared" si="7"/>
        <v>0.7741473652</v>
      </c>
      <c r="F21" s="19">
        <f t="shared" si="7"/>
        <v>0.5070624624</v>
      </c>
      <c r="G21" s="19">
        <f t="shared" si="7"/>
        <v>0.5098602936</v>
      </c>
    </row>
    <row r="22" ht="14.25" customHeight="1">
      <c r="B22" s="1" t="s">
        <v>87</v>
      </c>
      <c r="C22" s="11">
        <f t="shared" ref="C22:F22" si="8">C$13*C$5</f>
        <v>-31518.32</v>
      </c>
      <c r="D22" s="11">
        <f t="shared" si="8"/>
        <v>542906.72</v>
      </c>
      <c r="E22" s="11">
        <f t="shared" si="8"/>
        <v>1393574.4</v>
      </c>
      <c r="F22" s="11">
        <f t="shared" si="8"/>
        <v>2261520.36</v>
      </c>
      <c r="G22" s="43">
        <v>3500000.0</v>
      </c>
      <c r="H22" s="1" t="s">
        <v>88</v>
      </c>
    </row>
    <row r="23" ht="14.25" customHeight="1">
      <c r="B23" s="1" t="s">
        <v>89</v>
      </c>
      <c r="C23" s="19">
        <f t="shared" ref="C23:G23" si="9">C$22/C$20</f>
        <v>-0.0275519838</v>
      </c>
      <c r="D23" s="19">
        <f t="shared" si="9"/>
        <v>0.2435232411</v>
      </c>
      <c r="E23" s="19">
        <f t="shared" si="9"/>
        <v>0.3523349028</v>
      </c>
      <c r="F23" s="19">
        <f t="shared" si="9"/>
        <v>0.379397755</v>
      </c>
      <c r="G23" s="19">
        <f t="shared" si="9"/>
        <v>0.3888888889</v>
      </c>
    </row>
    <row r="24" ht="14.25" customHeight="1">
      <c r="E24" s="19"/>
    </row>
    <row r="25" ht="14.25" customHeight="1">
      <c r="E25" s="19"/>
    </row>
    <row r="26" ht="14.25" customHeight="1">
      <c r="B26" s="40" t="s">
        <v>92</v>
      </c>
    </row>
    <row r="27" ht="14.25" customHeight="1">
      <c r="B27" s="5" t="s">
        <v>93</v>
      </c>
      <c r="C27" s="7">
        <v>1.2556413E7</v>
      </c>
      <c r="D27" s="7">
        <v>1.5115089E7</v>
      </c>
      <c r="E27" s="7">
        <v>2.2345968E7</v>
      </c>
      <c r="F27" s="7">
        <v>3.6142908E7</v>
      </c>
      <c r="H27" s="5" t="s">
        <v>95</v>
      </c>
    </row>
    <row r="28" ht="14.25" customHeight="1">
      <c r="B28" s="5" t="s">
        <v>96</v>
      </c>
      <c r="D28" s="51">
        <f t="shared" ref="D28:F28" si="10">(D$27-C$27)/C$27</f>
        <v>0.2037744378</v>
      </c>
      <c r="E28" s="51">
        <f t="shared" si="10"/>
        <v>0.4783881193</v>
      </c>
      <c r="F28" s="51">
        <f t="shared" si="10"/>
        <v>0.6174241366</v>
      </c>
    </row>
    <row r="29" ht="14.25" customHeight="1">
      <c r="B29" s="5" t="s">
        <v>98</v>
      </c>
      <c r="C29" s="7">
        <v>1.3241365E7</v>
      </c>
      <c r="D29" s="7">
        <v>1.8215513E7</v>
      </c>
      <c r="E29" s="7">
        <v>3.0247824E7</v>
      </c>
      <c r="F29" s="7">
        <v>5.0182946E7</v>
      </c>
      <c r="H29" s="5" t="s">
        <v>100</v>
      </c>
    </row>
    <row r="30" ht="14.25" customHeight="1">
      <c r="B30" s="5" t="s">
        <v>101</v>
      </c>
      <c r="C30" s="53">
        <v>26.2</v>
      </c>
      <c r="D30" s="53">
        <v>38.0</v>
      </c>
      <c r="E30" s="53">
        <v>52.5</v>
      </c>
      <c r="F30" s="53">
        <v>68.3</v>
      </c>
      <c r="H30" s="5" t="s">
        <v>103</v>
      </c>
    </row>
    <row r="31" ht="14.25" customHeight="1">
      <c r="B31" s="5" t="s">
        <v>104</v>
      </c>
      <c r="D31" s="56">
        <f t="shared" ref="D31:F31" si="11">(D$9/1000)/AVERAGE(C$30,D$30)</f>
        <v>56.00903427</v>
      </c>
      <c r="E31" s="56">
        <f t="shared" si="11"/>
        <v>68.28824309</v>
      </c>
      <c r="F31" s="56">
        <f t="shared" si="11"/>
        <v>74.76440397</v>
      </c>
      <c r="H31" s="5" t="s">
        <v>105</v>
      </c>
    </row>
    <row r="32" ht="14.25" customHeight="1">
      <c r="B32" s="5" t="s">
        <v>106</v>
      </c>
      <c r="E32" s="51">
        <f t="shared" ref="E32:F32" si="12">E$31/D$31-1</f>
        <v>0.2192362176</v>
      </c>
      <c r="F32" s="51">
        <f t="shared" si="12"/>
        <v>0.09483566403</v>
      </c>
    </row>
    <row r="33" ht="14.25" customHeight="1">
      <c r="B33" s="5" t="s">
        <v>109</v>
      </c>
      <c r="D33" s="51">
        <f t="shared" ref="D33:F33" si="13">(D$11-C$11)/C$11</f>
        <v>5.041444448</v>
      </c>
      <c r="E33" s="51">
        <f t="shared" si="13"/>
        <v>0.5818688809</v>
      </c>
      <c r="F33" s="51">
        <f t="shared" si="13"/>
        <v>0.2327381555</v>
      </c>
      <c r="H33" s="5" t="s">
        <v>110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13"/>
    <col customWidth="1" min="3" max="3" width="16.75"/>
    <col customWidth="1" min="4" max="4" width="23.25"/>
    <col customWidth="1" min="5" max="5" width="33.0"/>
    <col customWidth="1" min="6" max="6" width="20.13"/>
    <col customWidth="1" min="7" max="7" width="14.63"/>
    <col customWidth="1" min="12" max="12" width="31.75"/>
  </cols>
  <sheetData>
    <row r="2">
      <c r="B2" s="5" t="s">
        <v>17</v>
      </c>
    </row>
    <row r="3">
      <c r="B3" s="8" t="s">
        <v>20</v>
      </c>
      <c r="C3" s="8" t="s">
        <v>22</v>
      </c>
      <c r="D3" s="8" t="s">
        <v>23</v>
      </c>
      <c r="E3" s="8" t="s">
        <v>24</v>
      </c>
      <c r="F3" s="8" t="s">
        <v>25</v>
      </c>
      <c r="G3" s="10" t="s">
        <v>26</v>
      </c>
      <c r="H3" s="8" t="s">
        <v>27</v>
      </c>
      <c r="I3" s="8" t="s">
        <v>29</v>
      </c>
      <c r="J3" s="8" t="s">
        <v>31</v>
      </c>
      <c r="L3" s="13" t="s">
        <v>33</v>
      </c>
    </row>
    <row r="4">
      <c r="B4" s="5" t="s">
        <v>34</v>
      </c>
      <c r="C4" s="15">
        <v>77.9</v>
      </c>
      <c r="D4" s="5">
        <v>16.3</v>
      </c>
      <c r="E4" s="5">
        <v>22.8</v>
      </c>
      <c r="F4" s="19">
        <f t="shared" ref="F4:F7" si="1">(E4-D4)/D4</f>
        <v>0.3987730061</v>
      </c>
      <c r="G4" s="22">
        <v>0.178</v>
      </c>
      <c r="H4" s="26">
        <f t="shared" ref="H4:H7" si="2">C4/D4</f>
        <v>4.779141104</v>
      </c>
      <c r="I4" s="26">
        <f t="shared" ref="I4:I7" si="3">C4/E4</f>
        <v>3.416666667</v>
      </c>
      <c r="J4" s="5">
        <v>16.6</v>
      </c>
      <c r="L4" s="32" t="s">
        <v>55</v>
      </c>
      <c r="M4" s="36" t="s">
        <v>63</v>
      </c>
    </row>
    <row r="5">
      <c r="B5" s="5" t="s">
        <v>67</v>
      </c>
      <c r="C5" s="5">
        <v>20.4</v>
      </c>
      <c r="D5" s="5">
        <v>3.58</v>
      </c>
      <c r="E5" s="5">
        <v>4.88</v>
      </c>
      <c r="F5" s="19">
        <f t="shared" si="1"/>
        <v>0.3631284916</v>
      </c>
      <c r="G5" s="22">
        <v>0.149</v>
      </c>
      <c r="H5" s="26">
        <f t="shared" si="2"/>
        <v>5.698324022</v>
      </c>
      <c r="I5" s="26">
        <f t="shared" si="3"/>
        <v>4.180327869</v>
      </c>
      <c r="J5" s="5">
        <v>21.7</v>
      </c>
      <c r="L5" s="37" t="s">
        <v>71</v>
      </c>
    </row>
    <row r="6">
      <c r="B6" s="5" t="s">
        <v>84</v>
      </c>
      <c r="C6" s="5">
        <v>11.8</v>
      </c>
      <c r="D6" s="5">
        <v>2.5</v>
      </c>
      <c r="E6" s="5">
        <v>2.92</v>
      </c>
      <c r="F6" s="19">
        <f t="shared" si="1"/>
        <v>0.168</v>
      </c>
      <c r="G6" s="22">
        <v>0.199</v>
      </c>
      <c r="H6" s="26">
        <f t="shared" si="2"/>
        <v>4.72</v>
      </c>
      <c r="I6" s="26">
        <f t="shared" si="3"/>
        <v>4.04109589</v>
      </c>
      <c r="J6" s="5">
        <v>19.4</v>
      </c>
      <c r="L6" s="32" t="s">
        <v>85</v>
      </c>
    </row>
    <row r="7">
      <c r="B7" s="5" t="s">
        <v>90</v>
      </c>
      <c r="C7" s="5">
        <v>98.0</v>
      </c>
      <c r="D7" s="5">
        <v>4.47</v>
      </c>
      <c r="E7" s="5">
        <v>5.28</v>
      </c>
      <c r="F7" s="19">
        <f t="shared" si="1"/>
        <v>0.1812080537</v>
      </c>
      <c r="G7" s="22">
        <v>0.42</v>
      </c>
      <c r="H7" s="26">
        <f t="shared" si="2"/>
        <v>21.92393736</v>
      </c>
      <c r="I7" s="48">
        <f t="shared" si="3"/>
        <v>18.56060606</v>
      </c>
      <c r="J7" s="5">
        <v>43.2</v>
      </c>
      <c r="L7" s="32" t="s">
        <v>94</v>
      </c>
    </row>
    <row r="8">
      <c r="B8" s="52" t="s">
        <v>99</v>
      </c>
      <c r="C8" s="54"/>
      <c r="D8" s="54"/>
      <c r="E8" s="54"/>
      <c r="F8" s="55">
        <f t="shared" ref="F8:J8" si="4">MIN(F4:F7)</f>
        <v>0.168</v>
      </c>
      <c r="G8" s="57">
        <f t="shared" si="4"/>
        <v>0.149</v>
      </c>
      <c r="H8" s="58">
        <f t="shared" si="4"/>
        <v>4.72</v>
      </c>
      <c r="I8" s="58">
        <f t="shared" si="4"/>
        <v>3.416666667</v>
      </c>
      <c r="J8" s="60">
        <f t="shared" si="4"/>
        <v>16.6</v>
      </c>
    </row>
    <row r="9">
      <c r="B9" s="52" t="s">
        <v>107</v>
      </c>
      <c r="C9" s="54"/>
      <c r="D9" s="54"/>
      <c r="E9" s="54"/>
      <c r="F9" s="55">
        <f t="shared" ref="F9:J9" si="5">MEDIAN(F4:F7)</f>
        <v>0.2721682727</v>
      </c>
      <c r="G9" s="57">
        <f t="shared" si="5"/>
        <v>0.1885</v>
      </c>
      <c r="H9" s="58">
        <f t="shared" si="5"/>
        <v>5.238732563</v>
      </c>
      <c r="I9" s="58">
        <f t="shared" si="5"/>
        <v>4.11071188</v>
      </c>
      <c r="J9" s="63">
        <f t="shared" si="5"/>
        <v>20.55</v>
      </c>
    </row>
    <row r="10">
      <c r="B10" s="52" t="s">
        <v>111</v>
      </c>
      <c r="C10" s="54"/>
      <c r="D10" s="54"/>
      <c r="E10" s="54"/>
      <c r="F10" s="55">
        <f t="shared" ref="F10:J10" si="6">MAX(F4:F7)</f>
        <v>0.3987730061</v>
      </c>
      <c r="G10" s="57">
        <f t="shared" si="6"/>
        <v>0.42</v>
      </c>
      <c r="H10" s="58">
        <f t="shared" si="6"/>
        <v>21.92393736</v>
      </c>
      <c r="I10" s="58">
        <f t="shared" si="6"/>
        <v>18.56060606</v>
      </c>
      <c r="J10" s="60">
        <f t="shared" si="6"/>
        <v>43.2</v>
      </c>
    </row>
    <row r="11">
      <c r="B11" s="5" t="s">
        <v>118</v>
      </c>
      <c r="C11" s="4">
        <v>115.0</v>
      </c>
      <c r="D11" s="31">
        <f>'Financial Summary '!F20/10^6</f>
        <v>5.9608164</v>
      </c>
      <c r="E11" s="72">
        <f>'Financial Summary '!G20/10^6</f>
        <v>9</v>
      </c>
      <c r="F11" s="19">
        <f>'Financial Summary '!G10</f>
        <v>0.5098602936</v>
      </c>
      <c r="G11" s="51">
        <f>'Financial Summary '!F16</f>
        <v>0.2889048822</v>
      </c>
      <c r="H11" s="26">
        <f>C11/D11</f>
        <v>19.29265931</v>
      </c>
      <c r="I11" s="26">
        <f>C11/E11</f>
        <v>12.77777778</v>
      </c>
      <c r="J11" s="56">
        <f>C11/(Projections!I10/10^6)</f>
        <v>43.14889433</v>
      </c>
    </row>
    <row r="12">
      <c r="B12" s="5" t="s">
        <v>126</v>
      </c>
      <c r="F12" s="73">
        <f t="shared" ref="F12:J12" si="7">F11/F9-1</f>
        <v>0.8733274406</v>
      </c>
      <c r="G12" s="73">
        <f t="shared" si="7"/>
        <v>0.5326518951</v>
      </c>
      <c r="H12" s="46">
        <f t="shared" si="7"/>
        <v>2.682695972</v>
      </c>
      <c r="I12" s="46">
        <f t="shared" si="7"/>
        <v>2.108409967</v>
      </c>
      <c r="J12" s="46">
        <f t="shared" si="7"/>
        <v>1.099702887</v>
      </c>
    </row>
    <row r="14">
      <c r="B14" s="13"/>
      <c r="J14" s="5"/>
    </row>
    <row r="15">
      <c r="B15" s="75" t="s">
        <v>130</v>
      </c>
    </row>
    <row r="16">
      <c r="B16" s="67" t="s">
        <v>20</v>
      </c>
      <c r="C16" s="67" t="s">
        <v>131</v>
      </c>
      <c r="D16" s="67" t="s">
        <v>132</v>
      </c>
      <c r="E16" s="67" t="s">
        <v>133</v>
      </c>
    </row>
    <row r="17">
      <c r="B17" s="5" t="s">
        <v>34</v>
      </c>
      <c r="C17" s="56">
        <f t="shared" ref="C17:C20" si="8">C4</f>
        <v>77.9</v>
      </c>
      <c r="D17" s="53">
        <v>70.33</v>
      </c>
      <c r="E17" s="51">
        <f t="shared" ref="E17:E20" si="9">D17/C17-1</f>
        <v>-0.0971758665</v>
      </c>
    </row>
    <row r="18">
      <c r="B18" s="5" t="s">
        <v>67</v>
      </c>
      <c r="C18" s="56">
        <f t="shared" si="8"/>
        <v>20.4</v>
      </c>
      <c r="D18" s="53">
        <v>18.79</v>
      </c>
      <c r="E18" s="51">
        <f t="shared" si="9"/>
        <v>-0.07892156863</v>
      </c>
    </row>
    <row r="19">
      <c r="B19" s="5" t="s">
        <v>84</v>
      </c>
      <c r="C19" s="56">
        <f t="shared" si="8"/>
        <v>11.8</v>
      </c>
      <c r="D19" s="53">
        <v>11.25</v>
      </c>
      <c r="E19" s="51">
        <f t="shared" si="9"/>
        <v>-0.04661016949</v>
      </c>
    </row>
    <row r="20">
      <c r="B20" s="5" t="s">
        <v>90</v>
      </c>
      <c r="C20" s="56">
        <f t="shared" si="8"/>
        <v>98</v>
      </c>
      <c r="D20" s="53">
        <v>88.89</v>
      </c>
      <c r="E20" s="51">
        <f t="shared" si="9"/>
        <v>-0.09295918367</v>
      </c>
    </row>
    <row r="21" ht="15.75" customHeight="1">
      <c r="B21" s="13" t="s">
        <v>135</v>
      </c>
      <c r="E21" s="77">
        <f>MEDIAN(E17:E20)</f>
        <v>-0.08594037615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L4"/>
    <hyperlink r:id="rId3" ref="M4"/>
    <hyperlink r:id="rId4" ref="L5"/>
    <hyperlink r:id="rId5" ref="L6"/>
    <hyperlink r:id="rId6" ref="L7"/>
  </hyperlinks>
  <printOptions/>
  <pageMargins bottom="1.0" footer="0.0" header="0.0" left="0.75" right="0.75" top="1.0"/>
  <pageSetup paperSize="9" orientation="portrait"/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38"/>
    <col customWidth="1" min="3" max="5" width="12.63"/>
    <col customWidth="1" min="6" max="6" width="39.0"/>
    <col customWidth="1" min="7" max="7" width="14.88"/>
    <col customWidth="1" min="11" max="11" width="13.88"/>
  </cols>
  <sheetData>
    <row r="3">
      <c r="C3" s="5" t="s">
        <v>18</v>
      </c>
      <c r="F3" s="1" t="s">
        <v>19</v>
      </c>
      <c r="G3" s="1"/>
    </row>
    <row r="4">
      <c r="B4" s="9" t="s">
        <v>21</v>
      </c>
      <c r="C4" s="12" t="s">
        <v>28</v>
      </c>
      <c r="D4" s="18" t="s">
        <v>35</v>
      </c>
      <c r="E4" s="20" t="s">
        <v>37</v>
      </c>
      <c r="G4" s="8"/>
      <c r="H4" s="8"/>
      <c r="I4" s="8"/>
      <c r="J4" s="8"/>
    </row>
    <row r="5">
      <c r="B5" s="24" t="s">
        <v>41</v>
      </c>
      <c r="C5" s="5">
        <v>0.76</v>
      </c>
      <c r="D5" s="5">
        <v>0.64</v>
      </c>
      <c r="E5" s="5">
        <v>0.52</v>
      </c>
      <c r="F5" s="27" t="s">
        <v>45</v>
      </c>
      <c r="H5" s="10" t="s">
        <v>47</v>
      </c>
      <c r="I5" s="10" t="s">
        <v>48</v>
      </c>
      <c r="J5" s="10" t="s">
        <v>51</v>
      </c>
      <c r="K5" s="10" t="s">
        <v>53</v>
      </c>
    </row>
    <row r="6">
      <c r="B6" s="24" t="s">
        <v>56</v>
      </c>
      <c r="C6" s="31">
        <f>C5*'Financial Summary '!G10</f>
        <v>0.3874938232</v>
      </c>
      <c r="D6" s="31">
        <f>D5*'Financial Summary '!G10</f>
        <v>0.3263105879</v>
      </c>
      <c r="E6" s="31">
        <f>E5*'Financial Summary '!G10</f>
        <v>0.2651273527</v>
      </c>
      <c r="G6" s="5" t="s">
        <v>16</v>
      </c>
      <c r="H6" s="35">
        <f>'Financial Summary '!F20</f>
        <v>5960816.4</v>
      </c>
      <c r="I6" s="35">
        <f>'Financial Summary '!G20</f>
        <v>9000000</v>
      </c>
      <c r="J6" s="35">
        <f>C8</f>
        <v>12487444.41</v>
      </c>
      <c r="K6" s="35">
        <f>C9</f>
        <v>16164938.17</v>
      </c>
    </row>
    <row r="7">
      <c r="B7" s="24" t="s">
        <v>74</v>
      </c>
      <c r="C7" s="31">
        <f t="shared" ref="C7:E7" si="1">C6*C5</f>
        <v>0.2944953056</v>
      </c>
      <c r="D7" s="31">
        <f t="shared" si="1"/>
        <v>0.2088387763</v>
      </c>
      <c r="E7" s="31">
        <f t="shared" si="1"/>
        <v>0.1378662234</v>
      </c>
      <c r="G7" s="5" t="s">
        <v>81</v>
      </c>
      <c r="H7" s="35"/>
      <c r="I7" s="35"/>
      <c r="J7" s="46">
        <f t="shared" ref="J7:K7" si="2">(J6/I6) -1</f>
        <v>0.3874938232</v>
      </c>
      <c r="K7" s="46">
        <f t="shared" si="2"/>
        <v>0.2944953056</v>
      </c>
    </row>
    <row r="8">
      <c r="B8" s="24" t="s">
        <v>86</v>
      </c>
      <c r="C8" s="35">
        <f>(1+C6)*'Financial Summary '!G20</f>
        <v>12487444.41</v>
      </c>
      <c r="D8" s="35">
        <f>(1+D6)*'Financial Summary '!G20</f>
        <v>11936795.29</v>
      </c>
      <c r="E8" s="35">
        <f>(1+E6)*'Financial Summary '!G20</f>
        <v>11386146.17</v>
      </c>
      <c r="G8" s="5" t="s">
        <v>91</v>
      </c>
      <c r="H8" s="35">
        <f>'Financial Summary '!F22</f>
        <v>2261520.36</v>
      </c>
      <c r="I8" s="35">
        <f>'Financial Summary '!G22</f>
        <v>3500000</v>
      </c>
      <c r="J8" s="35">
        <f>J6*C10</f>
        <v>4994977.763</v>
      </c>
      <c r="K8" s="35">
        <f>K6*C10</f>
        <v>6465975.266</v>
      </c>
    </row>
    <row r="9">
      <c r="B9" s="24" t="s">
        <v>97</v>
      </c>
      <c r="C9" s="35">
        <f t="shared" ref="C9:E9" si="3">C8*(1+C7)</f>
        <v>16164938.17</v>
      </c>
      <c r="D9" s="35">
        <f t="shared" si="3"/>
        <v>14429661.01</v>
      </c>
      <c r="E9" s="35">
        <f t="shared" si="3"/>
        <v>12955911.15</v>
      </c>
      <c r="G9" s="5" t="s">
        <v>102</v>
      </c>
      <c r="H9" s="35"/>
      <c r="I9" s="35"/>
      <c r="J9" s="46">
        <f t="shared" ref="J9:K9" si="4">J8/J6</f>
        <v>0.4</v>
      </c>
      <c r="K9" s="46">
        <f t="shared" si="4"/>
        <v>0.4</v>
      </c>
    </row>
    <row r="10">
      <c r="B10" s="24" t="s">
        <v>102</v>
      </c>
      <c r="C10" s="22">
        <v>0.4</v>
      </c>
      <c r="D10" s="59">
        <f>'Financial Summary '!G14</f>
        <v>0.3888888889</v>
      </c>
      <c r="E10" s="22">
        <v>0.33</v>
      </c>
      <c r="G10" s="5" t="s">
        <v>61</v>
      </c>
      <c r="H10" s="35">
        <f>'Financial Summary '!F15*'Financial Summary '!F5</f>
        <v>1722108.96</v>
      </c>
      <c r="I10" s="35">
        <f>I8*(1-C11)</f>
        <v>2665189.961</v>
      </c>
      <c r="J10" s="35">
        <f>J8*(1-C11)</f>
        <v>3803589.883</v>
      </c>
      <c r="K10" s="35">
        <f>K8*(1-C11)</f>
        <v>4923729.248</v>
      </c>
    </row>
    <row r="11">
      <c r="B11" s="24" t="s">
        <v>113</v>
      </c>
      <c r="C11" s="46">
        <f>'Financial Summary '!F17</f>
        <v>0.238517154</v>
      </c>
      <c r="D11" s="46">
        <f>C11</f>
        <v>0.238517154</v>
      </c>
      <c r="E11" s="46">
        <f>C11</f>
        <v>0.238517154</v>
      </c>
      <c r="H11" s="35"/>
      <c r="I11" s="35"/>
      <c r="J11" s="35"/>
      <c r="K11" s="35"/>
    </row>
    <row r="12">
      <c r="B12" s="24" t="s">
        <v>119</v>
      </c>
      <c r="C12" s="70">
        <f>Peers!I11</f>
        <v>12.77777778</v>
      </c>
      <c r="D12" s="70">
        <f>AVERAGE(Peers!I9,Peers!I11)</f>
        <v>8.444244829</v>
      </c>
      <c r="E12" s="70">
        <f>Peers!I9</f>
        <v>4.11071188</v>
      </c>
      <c r="G12" s="8"/>
      <c r="H12" s="10" t="s">
        <v>47</v>
      </c>
      <c r="I12" s="10" t="s">
        <v>121</v>
      </c>
      <c r="J12" s="10" t="s">
        <v>51</v>
      </c>
      <c r="K12" s="10" t="s">
        <v>53</v>
      </c>
    </row>
    <row r="13">
      <c r="B13" s="24" t="s">
        <v>122</v>
      </c>
      <c r="C13" s="70">
        <f>Peers!J11</f>
        <v>43.14889433</v>
      </c>
      <c r="D13" s="70">
        <f>AVERAGE(Peers!J9,Peers!J11)</f>
        <v>31.84944717</v>
      </c>
      <c r="E13" s="70">
        <f>Peers!J9</f>
        <v>20.55</v>
      </c>
      <c r="F13" s="27" t="s">
        <v>124</v>
      </c>
    </row>
    <row r="14">
      <c r="B14" s="24" t="s">
        <v>125</v>
      </c>
      <c r="C14" s="5">
        <v>115.0</v>
      </c>
      <c r="G14" s="5" t="s">
        <v>16</v>
      </c>
      <c r="H14" s="35">
        <f>'Financial Summary '!F20</f>
        <v>5960816.4</v>
      </c>
      <c r="I14" s="35">
        <f>I6</f>
        <v>9000000</v>
      </c>
      <c r="J14" s="35">
        <f>D8</f>
        <v>11936795.29</v>
      </c>
      <c r="K14" s="35">
        <f>D9</f>
        <v>14429661.01</v>
      </c>
    </row>
    <row r="15">
      <c r="B15" s="76"/>
      <c r="G15" s="5" t="s">
        <v>81</v>
      </c>
      <c r="H15" s="35"/>
      <c r="I15" s="35"/>
      <c r="J15" s="46">
        <f t="shared" ref="J15:K15" si="5">J14/I14 -1</f>
        <v>0.3263105879</v>
      </c>
      <c r="K15" s="46">
        <f t="shared" si="5"/>
        <v>0.2088387763</v>
      </c>
    </row>
    <row r="16">
      <c r="G16" s="5" t="s">
        <v>91</v>
      </c>
      <c r="H16" s="35">
        <f t="shared" ref="H16:I16" si="6">H8</f>
        <v>2261520.36</v>
      </c>
      <c r="I16" s="35">
        <f t="shared" si="6"/>
        <v>3500000</v>
      </c>
      <c r="J16" s="35">
        <f>J14*D10</f>
        <v>4642087.058</v>
      </c>
      <c r="K16" s="35">
        <f>K14*D10</f>
        <v>5611534.838</v>
      </c>
    </row>
    <row r="17">
      <c r="G17" s="5" t="s">
        <v>102</v>
      </c>
      <c r="H17" s="35"/>
      <c r="I17" s="35"/>
      <c r="J17" s="46">
        <f t="shared" ref="J17:K17" si="7">J16/J14</f>
        <v>0.3888888889</v>
      </c>
      <c r="K17" s="46">
        <f t="shared" si="7"/>
        <v>0.3888888889</v>
      </c>
    </row>
    <row r="18">
      <c r="G18" s="5" t="s">
        <v>61</v>
      </c>
      <c r="H18" s="35">
        <f t="shared" ref="H18:I18" si="8">H10</f>
        <v>1722108.96</v>
      </c>
      <c r="I18" s="35">
        <f t="shared" si="8"/>
        <v>2665189.961</v>
      </c>
      <c r="J18" s="35">
        <f>J16*(1-D11)</f>
        <v>3534869.664</v>
      </c>
      <c r="K18" s="35">
        <f>K16*(1-D11)</f>
        <v>4273087.519</v>
      </c>
    </row>
    <row r="20">
      <c r="G20" s="8"/>
      <c r="H20" s="10" t="s">
        <v>47</v>
      </c>
      <c r="I20" s="10" t="s">
        <v>121</v>
      </c>
      <c r="J20" s="10" t="s">
        <v>51</v>
      </c>
      <c r="K20" s="10" t="s">
        <v>53</v>
      </c>
    </row>
    <row r="21" ht="15.75" customHeight="1">
      <c r="F21" s="27" t="s">
        <v>141</v>
      </c>
    </row>
    <row r="22" ht="15.75" customHeight="1">
      <c r="G22" s="5" t="s">
        <v>16</v>
      </c>
      <c r="H22" s="35">
        <f>'Financial Summary '!F20</f>
        <v>5960816.4</v>
      </c>
      <c r="I22" s="35">
        <f>I6</f>
        <v>9000000</v>
      </c>
      <c r="J22" s="35">
        <f>E8</f>
        <v>11386146.17</v>
      </c>
      <c r="K22" s="35">
        <f>E9</f>
        <v>12955911.15</v>
      </c>
      <c r="L22" s="35"/>
    </row>
    <row r="23" ht="15.75" customHeight="1">
      <c r="G23" s="5" t="s">
        <v>81</v>
      </c>
      <c r="H23" s="35"/>
      <c r="I23" s="35"/>
      <c r="J23" s="46">
        <f t="shared" ref="J23:K23" si="9">J22/I22 -1</f>
        <v>0.2651273527</v>
      </c>
      <c r="K23" s="46">
        <f t="shared" si="9"/>
        <v>0.1378662234</v>
      </c>
      <c r="L23" s="35"/>
    </row>
    <row r="24" ht="15.75" customHeight="1">
      <c r="G24" s="5" t="s">
        <v>91</v>
      </c>
      <c r="H24" s="35">
        <f t="shared" ref="H24:I24" si="10">H8</f>
        <v>2261520.36</v>
      </c>
      <c r="I24" s="35">
        <f t="shared" si="10"/>
        <v>3500000</v>
      </c>
      <c r="J24" s="35">
        <f>J22*E10</f>
        <v>3757428.237</v>
      </c>
      <c r="K24" s="35">
        <f>K22*E10</f>
        <v>4275450.678</v>
      </c>
      <c r="L24" s="35"/>
    </row>
    <row r="25" ht="15.75" customHeight="1">
      <c r="G25" s="5" t="s">
        <v>102</v>
      </c>
      <c r="H25" s="35"/>
      <c r="I25" s="35"/>
      <c r="J25" s="46">
        <f t="shared" ref="J25:K25" si="11">J24/J22</f>
        <v>0.33</v>
      </c>
      <c r="K25" s="46">
        <f t="shared" si="11"/>
        <v>0.33</v>
      </c>
      <c r="L25" s="35"/>
    </row>
    <row r="26" ht="15.75" customHeight="1">
      <c r="G26" s="5" t="s">
        <v>61</v>
      </c>
      <c r="H26" s="35">
        <f t="shared" ref="H26:I26" si="12">H10</f>
        <v>1722108.96</v>
      </c>
      <c r="I26" s="35">
        <f t="shared" si="12"/>
        <v>2665189.961</v>
      </c>
      <c r="J26" s="35">
        <f>J24*(1-E11)</f>
        <v>2861217.148</v>
      </c>
      <c r="K26" s="35">
        <f>K24*(1-E11)</f>
        <v>3255682.35</v>
      </c>
      <c r="L26" s="35"/>
    </row>
    <row r="27" ht="15.75" customHeight="1">
      <c r="H27" s="35"/>
      <c r="I27" s="35"/>
      <c r="J27" s="35"/>
      <c r="K27" s="35"/>
      <c r="L27" s="35"/>
    </row>
    <row r="28" ht="15.75" customHeight="1">
      <c r="B28" s="2" t="s">
        <v>153</v>
      </c>
    </row>
    <row r="29" ht="15.75" customHeight="1">
      <c r="B29" s="81" t="s">
        <v>69</v>
      </c>
      <c r="C29" s="82" t="s">
        <v>155</v>
      </c>
      <c r="D29" s="83" t="s">
        <v>119</v>
      </c>
      <c r="E29" s="83" t="s">
        <v>157</v>
      </c>
      <c r="F29" s="83" t="s">
        <v>158</v>
      </c>
      <c r="G29" s="83" t="s">
        <v>122</v>
      </c>
      <c r="H29" s="83" t="s">
        <v>159</v>
      </c>
      <c r="I29" s="83" t="s">
        <v>160</v>
      </c>
      <c r="J29" s="83" t="s">
        <v>161</v>
      </c>
      <c r="K29" s="83" t="s">
        <v>162</v>
      </c>
      <c r="L29" s="85"/>
    </row>
    <row r="30" ht="15.75" customHeight="1">
      <c r="B30" s="17" t="s">
        <v>28</v>
      </c>
      <c r="C30" s="70">
        <f>K6/10^6</f>
        <v>16.16493817</v>
      </c>
      <c r="D30" s="70">
        <f>C12</f>
        <v>12.77777778</v>
      </c>
      <c r="E30" s="70">
        <f t="shared" ref="E30:E32" si="13">C30*D30</f>
        <v>206.5519877</v>
      </c>
      <c r="F30" s="31">
        <f>K10/10^6</f>
        <v>4.923729248</v>
      </c>
      <c r="G30" s="70">
        <f>C13</f>
        <v>43.14889433</v>
      </c>
      <c r="H30" s="70">
        <f t="shared" ref="H30:H32" si="14">G30*F30</f>
        <v>212.453473</v>
      </c>
      <c r="I30" s="70">
        <f t="shared" ref="I30:I32" si="15">AVERAGE(E30,H30)</f>
        <v>209.5027304</v>
      </c>
      <c r="J30" s="59">
        <f t="shared" ref="J30:J32" si="16">I30/$C$14 -1</f>
        <v>0.8217628726</v>
      </c>
      <c r="K30" s="1">
        <f>C14*1.5</f>
        <v>172.5</v>
      </c>
    </row>
    <row r="31" ht="15.75" customHeight="1">
      <c r="B31" s="17" t="s">
        <v>35</v>
      </c>
      <c r="C31" s="70">
        <f>K14/10^6</f>
        <v>14.42966101</v>
      </c>
      <c r="D31" s="70">
        <f>D12</f>
        <v>8.444244829</v>
      </c>
      <c r="E31" s="70">
        <f t="shared" si="13"/>
        <v>121.8475904</v>
      </c>
      <c r="F31" s="31">
        <f>K18/10^6</f>
        <v>4.273087519</v>
      </c>
      <c r="G31" s="70">
        <f>D13</f>
        <v>31.84944717</v>
      </c>
      <c r="H31" s="70">
        <f t="shared" si="14"/>
        <v>136.0954752</v>
      </c>
      <c r="I31" s="70">
        <f t="shared" si="15"/>
        <v>128.9715328</v>
      </c>
      <c r="J31" s="59">
        <f t="shared" si="16"/>
        <v>0.1214915894</v>
      </c>
      <c r="K31" s="1">
        <f>C14</f>
        <v>115</v>
      </c>
    </row>
    <row r="32" ht="15.75" customHeight="1">
      <c r="B32" s="30" t="s">
        <v>37</v>
      </c>
      <c r="C32" s="70">
        <f>K22/10^6</f>
        <v>12.95591115</v>
      </c>
      <c r="D32" s="70">
        <f>E12</f>
        <v>4.11071188</v>
      </c>
      <c r="E32" s="70">
        <f t="shared" si="13"/>
        <v>53.25801786</v>
      </c>
      <c r="F32" s="31">
        <f>K26/10^6</f>
        <v>3.25568235</v>
      </c>
      <c r="G32" s="70">
        <f>E13</f>
        <v>20.55</v>
      </c>
      <c r="H32" s="70">
        <f t="shared" si="14"/>
        <v>66.9042723</v>
      </c>
      <c r="I32" s="70">
        <f t="shared" si="15"/>
        <v>60.08114508</v>
      </c>
      <c r="J32" s="59">
        <f t="shared" si="16"/>
        <v>-0.4775552602</v>
      </c>
      <c r="K32" s="1">
        <f>C14*0.7</f>
        <v>80.5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63"/>
    <col customWidth="1" min="3" max="3" width="14.0"/>
    <col customWidth="1" min="4" max="9" width="15.0"/>
  </cols>
  <sheetData>
    <row r="3">
      <c r="B3" s="14" t="s">
        <v>30</v>
      </c>
      <c r="C3" s="16"/>
    </row>
    <row r="4">
      <c r="B4" s="17" t="s">
        <v>36</v>
      </c>
      <c r="C4" s="21">
        <f>115</f>
        <v>115</v>
      </c>
    </row>
    <row r="5">
      <c r="B5" s="17" t="s">
        <v>40</v>
      </c>
      <c r="C5" s="23">
        <v>15.0</v>
      </c>
    </row>
    <row r="6">
      <c r="B6" s="17" t="s">
        <v>44</v>
      </c>
      <c r="C6" s="25">
        <v>2.5</v>
      </c>
    </row>
    <row r="7">
      <c r="B7" s="17" t="s">
        <v>46</v>
      </c>
      <c r="C7" s="28">
        <v>0.2</v>
      </c>
    </row>
    <row r="8">
      <c r="B8" s="17" t="s">
        <v>49</v>
      </c>
      <c r="C8" s="28">
        <v>0.25</v>
      </c>
    </row>
    <row r="9">
      <c r="B9" s="17" t="s">
        <v>54</v>
      </c>
      <c r="C9" s="29">
        <f>(1+C7)^C6</f>
        <v>1.577440966</v>
      </c>
    </row>
    <row r="10">
      <c r="B10" s="30" t="s">
        <v>59</v>
      </c>
      <c r="C10" s="29">
        <f>(1+C8)^C6</f>
        <v>1.746928107</v>
      </c>
    </row>
    <row r="11">
      <c r="B11" s="33" t="s">
        <v>62</v>
      </c>
      <c r="C11" s="27">
        <v>2.0</v>
      </c>
    </row>
    <row r="17">
      <c r="E17" s="37" t="s">
        <v>65</v>
      </c>
      <c r="I17" s="1"/>
    </row>
    <row r="19">
      <c r="B19" s="39" t="s">
        <v>69</v>
      </c>
      <c r="C19" s="41" t="s">
        <v>72</v>
      </c>
      <c r="D19" s="41" t="s">
        <v>75</v>
      </c>
      <c r="E19" s="41" t="s">
        <v>76</v>
      </c>
      <c r="F19" s="41" t="s">
        <v>77</v>
      </c>
      <c r="G19" s="41" t="s">
        <v>78</v>
      </c>
      <c r="H19" s="41" t="s">
        <v>79</v>
      </c>
      <c r="I19" s="41" t="s">
        <v>80</v>
      </c>
    </row>
    <row r="20">
      <c r="B20" s="42" t="s">
        <v>28</v>
      </c>
      <c r="C20" s="45">
        <f>Projections!I30</f>
        <v>209.5027304</v>
      </c>
      <c r="D20" s="29">
        <f t="shared" ref="D20:D23" si="1">C20/$C$4</f>
        <v>1.821762873</v>
      </c>
      <c r="E20" s="29">
        <f t="shared" ref="E20:E22" si="2">D20*$C$5</f>
        <v>27.32644309</v>
      </c>
      <c r="F20" s="29">
        <f>E20-C5</f>
        <v>12.32644309</v>
      </c>
      <c r="G20" s="47">
        <f t="shared" ref="G20:G23" si="3">D20^(1/$C$6)-1</f>
        <v>0.2711498156</v>
      </c>
      <c r="H20" s="49" t="str">
        <f t="shared" ref="H20:H23" si="4">IF(G20&gt;=$C$7,"YES","NO")</f>
        <v>YES</v>
      </c>
      <c r="I20" s="50">
        <v>0.25</v>
      </c>
    </row>
    <row r="21" ht="15.75" customHeight="1">
      <c r="B21" s="42" t="s">
        <v>35</v>
      </c>
      <c r="C21" s="45">
        <f>Projections!I31</f>
        <v>128.9715328</v>
      </c>
      <c r="D21" s="29">
        <f t="shared" si="1"/>
        <v>1.121491589</v>
      </c>
      <c r="E21" s="29">
        <f t="shared" si="2"/>
        <v>16.82237384</v>
      </c>
      <c r="F21" s="29">
        <f>E21-C5</f>
        <v>1.822373841</v>
      </c>
      <c r="G21" s="47">
        <f t="shared" si="3"/>
        <v>0.04693184075</v>
      </c>
      <c r="H21" s="49" t="str">
        <f t="shared" si="4"/>
        <v>NO</v>
      </c>
      <c r="I21" s="50">
        <v>0.5</v>
      </c>
    </row>
    <row r="22" ht="15.75" customHeight="1">
      <c r="B22" s="42" t="s">
        <v>37</v>
      </c>
      <c r="C22" s="45">
        <f>Projections!I32</f>
        <v>60.08114508</v>
      </c>
      <c r="D22" s="29">
        <f t="shared" si="1"/>
        <v>0.5224447398</v>
      </c>
      <c r="E22" s="29">
        <f t="shared" si="2"/>
        <v>7.836671097</v>
      </c>
      <c r="F22" s="29">
        <f>E22-C5</f>
        <v>-7.163328903</v>
      </c>
      <c r="G22" s="47">
        <f t="shared" si="3"/>
        <v>-0.2287127639</v>
      </c>
      <c r="H22" s="49" t="str">
        <f t="shared" si="4"/>
        <v>NO</v>
      </c>
      <c r="I22" s="50">
        <v>0.25</v>
      </c>
    </row>
    <row r="23" ht="15.75" customHeight="1">
      <c r="B23" s="61" t="s">
        <v>108</v>
      </c>
      <c r="C23" s="62">
        <f>SUMPRODUCT(C20:C22,I20:I22)</f>
        <v>131.8817352</v>
      </c>
      <c r="D23" s="64">
        <f t="shared" si="1"/>
        <v>1.146797698</v>
      </c>
      <c r="E23" s="65"/>
      <c r="F23" s="65"/>
      <c r="G23" s="66">
        <f t="shared" si="3"/>
        <v>0.05631810848</v>
      </c>
      <c r="H23" s="65" t="str">
        <f t="shared" si="4"/>
        <v>NO</v>
      </c>
      <c r="I23" s="49"/>
    </row>
    <row r="24" ht="15.75" customHeight="1"/>
    <row r="25" ht="15.75" customHeight="1"/>
    <row r="26" ht="15.75" customHeight="1">
      <c r="B26" s="13" t="s">
        <v>112</v>
      </c>
    </row>
    <row r="27" ht="43.5" customHeight="1">
      <c r="B27" s="67" t="s">
        <v>69</v>
      </c>
      <c r="C27" s="67" t="s">
        <v>72</v>
      </c>
      <c r="D27" s="67" t="s">
        <v>75</v>
      </c>
      <c r="E27" s="67" t="s">
        <v>76</v>
      </c>
      <c r="F27" s="67" t="s">
        <v>77</v>
      </c>
      <c r="G27" s="67" t="s">
        <v>114</v>
      </c>
      <c r="H27" s="67" t="s">
        <v>115</v>
      </c>
      <c r="I27" s="67" t="s">
        <v>116</v>
      </c>
    </row>
    <row r="28" ht="15.75" customHeight="1">
      <c r="B28" s="33" t="s">
        <v>117</v>
      </c>
      <c r="C28" s="68">
        <f>Projections!K30</f>
        <v>172.5</v>
      </c>
      <c r="D28" s="69">
        <f t="shared" ref="D28:D30" si="5">C28/$C$4</f>
        <v>1.5</v>
      </c>
      <c r="E28" s="69">
        <f t="shared" ref="E28:E30" si="6">D28*$C$5</f>
        <v>22.5</v>
      </c>
      <c r="F28" s="69">
        <f t="shared" ref="F28:F30" si="7">E28-$C$5</f>
        <v>7.5</v>
      </c>
      <c r="G28" s="71">
        <f t="shared" ref="G28:G30" si="8">D28^(1/$C$11)-1</f>
        <v>0.2247448714</v>
      </c>
      <c r="H28" s="71">
        <f t="shared" ref="H28:H30" si="9">D28^(1/$C$6)-1</f>
        <v>0.1760790225</v>
      </c>
      <c r="I28" s="25" t="str">
        <f t="shared" ref="I28:I30" si="10">IF(G28&gt;=$C$7,"YES","NO")</f>
        <v>YES</v>
      </c>
    </row>
    <row r="29" ht="15.75" customHeight="1">
      <c r="B29" s="33" t="s">
        <v>120</v>
      </c>
      <c r="C29" s="68">
        <f>Projections!K31</f>
        <v>115</v>
      </c>
      <c r="D29" s="69">
        <f t="shared" si="5"/>
        <v>1</v>
      </c>
      <c r="E29" s="69">
        <f t="shared" si="6"/>
        <v>15</v>
      </c>
      <c r="F29" s="69">
        <f t="shared" si="7"/>
        <v>0</v>
      </c>
      <c r="G29" s="71">
        <f t="shared" si="8"/>
        <v>0</v>
      </c>
      <c r="H29" s="71">
        <f t="shared" si="9"/>
        <v>0</v>
      </c>
      <c r="I29" s="25" t="str">
        <f t="shared" si="10"/>
        <v>NO</v>
      </c>
    </row>
    <row r="30" ht="15.75" customHeight="1">
      <c r="B30" s="33" t="s">
        <v>123</v>
      </c>
      <c r="C30" s="68">
        <f>Projections!K32</f>
        <v>80.5</v>
      </c>
      <c r="D30" s="69">
        <f t="shared" si="5"/>
        <v>0.7</v>
      </c>
      <c r="E30" s="69">
        <f t="shared" si="6"/>
        <v>10.5</v>
      </c>
      <c r="F30" s="69">
        <f t="shared" si="7"/>
        <v>-4.5</v>
      </c>
      <c r="G30" s="71">
        <f t="shared" si="8"/>
        <v>-0.1633399735</v>
      </c>
      <c r="H30" s="71">
        <f t="shared" si="9"/>
        <v>-0.1329598356</v>
      </c>
      <c r="I30" s="25" t="str">
        <f t="shared" si="10"/>
        <v>NO</v>
      </c>
    </row>
    <row r="31" ht="15.75" customHeight="1"/>
    <row r="32" ht="15.75" customHeight="1"/>
    <row r="33" ht="15.75" customHeight="1">
      <c r="B33" s="13" t="s">
        <v>127</v>
      </c>
    </row>
    <row r="34" ht="43.5" customHeight="1">
      <c r="B34" s="67" t="s">
        <v>69</v>
      </c>
      <c r="C34" s="67" t="s">
        <v>72</v>
      </c>
      <c r="D34" s="67" t="s">
        <v>75</v>
      </c>
      <c r="E34" s="67" t="s">
        <v>76</v>
      </c>
      <c r="F34" s="67" t="s">
        <v>77</v>
      </c>
      <c r="G34" s="67" t="s">
        <v>114</v>
      </c>
      <c r="H34" s="67" t="s">
        <v>115</v>
      </c>
      <c r="I34" s="67" t="s">
        <v>128</v>
      </c>
    </row>
    <row r="35" ht="15.75" customHeight="1">
      <c r="B35" s="33" t="s">
        <v>129</v>
      </c>
      <c r="C35" s="74">
        <v>150.0</v>
      </c>
      <c r="D35" s="69">
        <f t="shared" ref="D35:D37" si="11">C35/$C$4</f>
        <v>1.304347826</v>
      </c>
      <c r="E35" s="69">
        <f t="shared" ref="E35:E37" si="12">D35*$C$5</f>
        <v>19.56521739</v>
      </c>
      <c r="F35" s="69">
        <f t="shared" ref="F35:F37" si="13">E35-$C$5</f>
        <v>4.565217391</v>
      </c>
      <c r="G35" s="71">
        <f t="shared" ref="G35:G37" si="14">D35^(1/$C$11)-1</f>
        <v>0.1420804814</v>
      </c>
      <c r="H35" s="71">
        <f t="shared" ref="H35:H37" si="15">D35^(1/$C$6)-1</f>
        <v>0.1121346385</v>
      </c>
      <c r="I35" s="25" t="str">
        <f t="shared" ref="I35:I37" si="16">IF(H35&gt;=$C$7,"YES","NO")</f>
        <v>NO</v>
      </c>
    </row>
    <row r="36" ht="15.75" customHeight="1">
      <c r="B36" s="33" t="s">
        <v>134</v>
      </c>
      <c r="C36" s="68">
        <f>AVERAGE(C35,C37)</f>
        <v>175</v>
      </c>
      <c r="D36" s="69">
        <f t="shared" si="11"/>
        <v>1.52173913</v>
      </c>
      <c r="E36" s="69">
        <f t="shared" si="12"/>
        <v>22.82608696</v>
      </c>
      <c r="F36" s="69">
        <f t="shared" si="13"/>
        <v>7.826086957</v>
      </c>
      <c r="G36" s="71">
        <f t="shared" si="14"/>
        <v>0.2335879095</v>
      </c>
      <c r="H36" s="71">
        <f t="shared" si="15"/>
        <v>0.1828674561</v>
      </c>
      <c r="I36" s="25" t="str">
        <f t="shared" si="16"/>
        <v>NO</v>
      </c>
    </row>
    <row r="37" ht="15.75" customHeight="1">
      <c r="B37" s="33" t="s">
        <v>136</v>
      </c>
      <c r="C37" s="74">
        <v>200.0</v>
      </c>
      <c r="D37" s="69">
        <f t="shared" si="11"/>
        <v>1.739130435</v>
      </c>
      <c r="E37" s="69">
        <f t="shared" si="12"/>
        <v>26.08695652</v>
      </c>
      <c r="F37" s="69">
        <f t="shared" si="13"/>
        <v>11.08695652</v>
      </c>
      <c r="G37" s="71">
        <f t="shared" si="14"/>
        <v>0.3187609468</v>
      </c>
      <c r="H37" s="71">
        <f t="shared" si="15"/>
        <v>0.2477651801</v>
      </c>
      <c r="I37" s="25" t="str">
        <f t="shared" si="16"/>
        <v>YES</v>
      </c>
    </row>
    <row r="38" ht="15.75" customHeight="1"/>
    <row r="39" ht="15.75" customHeight="1"/>
    <row r="40" ht="15.75" customHeight="1">
      <c r="B40" s="13" t="s">
        <v>137</v>
      </c>
    </row>
    <row r="41" ht="15.75" customHeight="1">
      <c r="B41" s="78" t="s">
        <v>138</v>
      </c>
    </row>
    <row r="42" ht="43.5" customHeight="1">
      <c r="B42" s="67" t="s">
        <v>139</v>
      </c>
      <c r="C42" s="67" t="s">
        <v>72</v>
      </c>
      <c r="D42" s="67" t="s">
        <v>140</v>
      </c>
      <c r="E42" s="67" t="s">
        <v>142</v>
      </c>
      <c r="F42" s="67" t="s">
        <v>143</v>
      </c>
      <c r="G42" s="67" t="s">
        <v>144</v>
      </c>
      <c r="H42" s="67" t="s">
        <v>145</v>
      </c>
      <c r="I42" s="67" t="s">
        <v>146</v>
      </c>
    </row>
    <row r="43" ht="15.75" customHeight="1">
      <c r="B43" s="33" t="s">
        <v>147</v>
      </c>
      <c r="C43" s="68">
        <f t="shared" ref="C43:C46" si="18">C20</f>
        <v>209.5027304</v>
      </c>
      <c r="D43" s="68">
        <f t="shared" ref="D43:D50" si="19">C43/(1+$C$7)^$C$6</f>
        <v>132.8117723</v>
      </c>
      <c r="E43" s="68">
        <f t="shared" ref="E43:E50" si="20">C43/(1+$C$8)^$C$6</f>
        <v>119.9263607</v>
      </c>
      <c r="F43" s="68">
        <f t="shared" ref="F43:F50" si="21">C43/(1+$C$7)^$C$11</f>
        <v>145.4880072</v>
      </c>
      <c r="G43" s="68">
        <f t="shared" ref="G43:G50" si="22">C43/(1+$C$8)^$C$11</f>
        <v>134.0817474</v>
      </c>
      <c r="H43" s="71">
        <f t="shared" ref="H43:I43" si="17">1-D43/$C$4</f>
        <v>-0.1548849766</v>
      </c>
      <c r="I43" s="71">
        <f t="shared" si="17"/>
        <v>-0.04283791926</v>
      </c>
    </row>
    <row r="44" ht="15.75" customHeight="1">
      <c r="B44" s="33" t="s">
        <v>148</v>
      </c>
      <c r="C44" s="68">
        <f t="shared" si="18"/>
        <v>128.9715328</v>
      </c>
      <c r="D44" s="68">
        <f t="shared" si="19"/>
        <v>81.75997428</v>
      </c>
      <c r="E44" s="68">
        <f t="shared" si="20"/>
        <v>73.8276133</v>
      </c>
      <c r="F44" s="68">
        <f t="shared" si="21"/>
        <v>89.56356443</v>
      </c>
      <c r="G44" s="68">
        <f t="shared" si="22"/>
        <v>82.54178098</v>
      </c>
      <c r="H44" s="71">
        <f t="shared" ref="H44:I44" si="23">1-D44/$C$4</f>
        <v>0.2890437019</v>
      </c>
      <c r="I44" s="71">
        <f t="shared" si="23"/>
        <v>0.3580207539</v>
      </c>
    </row>
    <row r="45" ht="15.75" customHeight="1">
      <c r="B45" s="33" t="s">
        <v>151</v>
      </c>
      <c r="C45" s="68">
        <f t="shared" si="18"/>
        <v>60.08114508</v>
      </c>
      <c r="D45" s="68">
        <f t="shared" si="19"/>
        <v>38.08772968</v>
      </c>
      <c r="E45" s="68">
        <f t="shared" si="20"/>
        <v>34.39245429</v>
      </c>
      <c r="F45" s="68">
        <f t="shared" si="21"/>
        <v>41.72301742</v>
      </c>
      <c r="G45" s="68">
        <f t="shared" si="22"/>
        <v>38.45193285</v>
      </c>
      <c r="H45" s="71">
        <f t="shared" ref="H45:I45" si="24">1-D45/$C$4</f>
        <v>0.6688023506</v>
      </c>
      <c r="I45" s="71">
        <f t="shared" si="24"/>
        <v>0.7009351801</v>
      </c>
    </row>
    <row r="46" ht="15.75" customHeight="1">
      <c r="B46" s="33" t="s">
        <v>156</v>
      </c>
      <c r="C46" s="68">
        <f t="shared" si="18"/>
        <v>131.8817352</v>
      </c>
      <c r="D46" s="68">
        <f t="shared" si="19"/>
        <v>83.60486264</v>
      </c>
      <c r="E46" s="68">
        <f t="shared" si="20"/>
        <v>75.4935104</v>
      </c>
      <c r="F46" s="68">
        <f t="shared" si="21"/>
        <v>91.58453837</v>
      </c>
      <c r="G46" s="68">
        <f t="shared" si="22"/>
        <v>84.40431056</v>
      </c>
      <c r="H46" s="71">
        <f t="shared" ref="H46:I46" si="25">1-D46/$C$4</f>
        <v>0.2730011945</v>
      </c>
      <c r="I46" s="71">
        <f t="shared" si="25"/>
        <v>0.3435346922</v>
      </c>
    </row>
    <row r="47" ht="15.75" customHeight="1">
      <c r="B47" s="33" t="s">
        <v>163</v>
      </c>
      <c r="C47" s="68">
        <f t="shared" ref="C47:C48" si="27">C28</f>
        <v>172.5</v>
      </c>
      <c r="D47" s="68">
        <f t="shared" si="19"/>
        <v>109.3543301</v>
      </c>
      <c r="E47" s="68">
        <f t="shared" si="20"/>
        <v>98.74476189</v>
      </c>
      <c r="F47" s="68">
        <f t="shared" si="21"/>
        <v>119.7916667</v>
      </c>
      <c r="G47" s="68">
        <f t="shared" si="22"/>
        <v>110.4</v>
      </c>
      <c r="H47" s="71">
        <f t="shared" ref="H47:I47" si="26">1-D47/$C$4</f>
        <v>0.04909278211</v>
      </c>
      <c r="I47" s="71">
        <f t="shared" si="26"/>
        <v>0.1413498966</v>
      </c>
    </row>
    <row r="48" ht="15.75" customHeight="1">
      <c r="B48" s="33" t="s">
        <v>165</v>
      </c>
      <c r="C48" s="68">
        <f t="shared" si="27"/>
        <v>115</v>
      </c>
      <c r="D48" s="68">
        <f t="shared" si="19"/>
        <v>72.9028867</v>
      </c>
      <c r="E48" s="68">
        <f t="shared" si="20"/>
        <v>65.82984126</v>
      </c>
      <c r="F48" s="68">
        <f t="shared" si="21"/>
        <v>79.86111111</v>
      </c>
      <c r="G48" s="68">
        <f t="shared" si="22"/>
        <v>73.6</v>
      </c>
      <c r="H48" s="71">
        <f t="shared" ref="H48:I48" si="28">1-D48/$C$4</f>
        <v>0.3660618547</v>
      </c>
      <c r="I48" s="71">
        <f t="shared" si="28"/>
        <v>0.4275665978</v>
      </c>
    </row>
    <row r="49" ht="15.75" customHeight="1">
      <c r="B49" s="33" t="s">
        <v>167</v>
      </c>
      <c r="C49" s="68">
        <f>C35</f>
        <v>150</v>
      </c>
      <c r="D49" s="68">
        <f t="shared" si="19"/>
        <v>95.09072179</v>
      </c>
      <c r="E49" s="68">
        <f t="shared" si="20"/>
        <v>85.86501034</v>
      </c>
      <c r="F49" s="68">
        <f t="shared" si="21"/>
        <v>104.1666667</v>
      </c>
      <c r="G49" s="68">
        <f t="shared" si="22"/>
        <v>96</v>
      </c>
      <c r="H49" s="71">
        <f t="shared" ref="H49:I49" si="29">1-D49/$C$4</f>
        <v>0.1731241584</v>
      </c>
      <c r="I49" s="71">
        <f t="shared" si="29"/>
        <v>0.2533477362</v>
      </c>
    </row>
    <row r="50" ht="15.75" customHeight="1">
      <c r="B50" s="33" t="s">
        <v>168</v>
      </c>
      <c r="C50" s="68">
        <f>C37</f>
        <v>200</v>
      </c>
      <c r="D50" s="68">
        <f t="shared" si="19"/>
        <v>126.7876291</v>
      </c>
      <c r="E50" s="68">
        <f t="shared" si="20"/>
        <v>114.4866804</v>
      </c>
      <c r="F50" s="68">
        <f t="shared" si="21"/>
        <v>138.8888889</v>
      </c>
      <c r="G50" s="68">
        <f t="shared" si="22"/>
        <v>128</v>
      </c>
      <c r="H50" s="71">
        <f t="shared" ref="H50:I50" si="30">1-D50/$C$4</f>
        <v>-0.1025011222</v>
      </c>
      <c r="I50" s="71">
        <f t="shared" si="30"/>
        <v>0.004463648278</v>
      </c>
    </row>
    <row r="51" ht="15.75" customHeight="1"/>
    <row r="52" ht="15.75" customHeight="1">
      <c r="B52" s="33" t="s">
        <v>169</v>
      </c>
      <c r="C52" s="90">
        <f>E46</f>
        <v>75.4935104</v>
      </c>
      <c r="D52" s="90">
        <f>D46</f>
        <v>83.60486264</v>
      </c>
      <c r="E52" s="91" t="s">
        <v>171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E17"/>
  </hyperlinks>
  <printOptions/>
  <pageMargins bottom="1.0" footer="0.0" header="0.0" left="0.75" right="0.75" top="1.0"/>
  <pageSetup paperSize="9" orientation="portrait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4.0"/>
    <col customWidth="1" min="3" max="3" width="13.0"/>
    <col customWidth="1" min="4" max="4" width="16.0"/>
    <col customWidth="1" min="5" max="5" width="13.0"/>
    <col customWidth="1" min="6" max="6" width="16.13"/>
    <col customWidth="1" min="7" max="7" width="15.38"/>
    <col customWidth="1" min="8" max="8" width="13.0"/>
    <col customWidth="1" min="10" max="10" width="30.0"/>
    <col customWidth="1" min="12" max="12" width="13.0"/>
    <col customWidth="1" min="13" max="13" width="16.0"/>
  </cols>
  <sheetData>
    <row r="1">
      <c r="B1" s="79" t="s">
        <v>149</v>
      </c>
    </row>
    <row r="3">
      <c r="B3" s="13" t="s">
        <v>150</v>
      </c>
    </row>
    <row r="4">
      <c r="B4" s="33" t="s">
        <v>152</v>
      </c>
      <c r="C4" s="80" t="s">
        <v>108</v>
      </c>
      <c r="D4" s="33" t="s">
        <v>154</v>
      </c>
      <c r="E4" s="84">
        <f t="array" ref="E4">INDEX($M$5:$M$10,MATCH($C$4,$L$5:$L$10,0))</f>
        <v>131.8817352</v>
      </c>
      <c r="F4" s="33" t="s">
        <v>46</v>
      </c>
      <c r="G4" s="86">
        <f>'Returns '!C7</f>
        <v>0.2</v>
      </c>
      <c r="L4" s="67" t="s">
        <v>164</v>
      </c>
      <c r="M4" s="67" t="s">
        <v>154</v>
      </c>
    </row>
    <row r="5">
      <c r="L5" s="5" t="s">
        <v>28</v>
      </c>
      <c r="M5" s="53">
        <f>'Returns '!C20</f>
        <v>209.5027304</v>
      </c>
    </row>
    <row r="6" ht="30.0" customHeight="1">
      <c r="B6" s="67" t="s">
        <v>166</v>
      </c>
      <c r="C6" s="87">
        <v>1.5</v>
      </c>
      <c r="D6" s="87">
        <v>2.0</v>
      </c>
      <c r="E6" s="87">
        <v>2.5</v>
      </c>
      <c r="F6" s="87">
        <v>3.0</v>
      </c>
      <c r="L6" s="5" t="s">
        <v>35</v>
      </c>
      <c r="M6" s="53">
        <f>'Returns '!C21</f>
        <v>128.9715328</v>
      </c>
    </row>
    <row r="7">
      <c r="B7" s="88">
        <v>75.0</v>
      </c>
      <c r="C7" s="89">
        <f t="shared" ref="C7:F7" si="1">($E$4/$B7)^(1/C$6)-1</f>
        <v>0.4568525314</v>
      </c>
      <c r="D7" s="89">
        <f t="shared" si="1"/>
        <v>0.3260554802</v>
      </c>
      <c r="E7" s="89">
        <f t="shared" si="1"/>
        <v>0.2532835973</v>
      </c>
      <c r="F7" s="89">
        <f t="shared" si="1"/>
        <v>0.2070014629</v>
      </c>
      <c r="L7" s="5" t="s">
        <v>37</v>
      </c>
      <c r="M7" s="53">
        <f>'Returns '!C22</f>
        <v>60.08114508</v>
      </c>
    </row>
    <row r="8">
      <c r="B8" s="88">
        <v>85.0</v>
      </c>
      <c r="C8" s="89">
        <f t="shared" ref="C8:F8" si="2">($E$4/$B8)^(1/C$6)-1</f>
        <v>0.3402232612</v>
      </c>
      <c r="D8" s="89">
        <f t="shared" si="2"/>
        <v>0.2456122296</v>
      </c>
      <c r="E8" s="89">
        <f t="shared" si="2"/>
        <v>0.1920824405</v>
      </c>
      <c r="F8" s="89">
        <f t="shared" si="2"/>
        <v>0.1576801204</v>
      </c>
      <c r="L8" s="5" t="s">
        <v>108</v>
      </c>
      <c r="M8" s="53">
        <f>'Returns '!C23</f>
        <v>131.8817352</v>
      </c>
    </row>
    <row r="9">
      <c r="B9" s="88">
        <v>95.0</v>
      </c>
      <c r="C9" s="89">
        <f t="shared" ref="C9:F9" si="3">($E$4/$B9)^(1/C$6)-1</f>
        <v>0.2444401991</v>
      </c>
      <c r="D9" s="89">
        <f t="shared" si="3"/>
        <v>0.1782312133</v>
      </c>
      <c r="E9" s="89">
        <f t="shared" si="3"/>
        <v>0.14020888</v>
      </c>
      <c r="F9" s="89">
        <f t="shared" si="3"/>
        <v>0.1155447992</v>
      </c>
      <c r="L9" s="5" t="s">
        <v>170</v>
      </c>
      <c r="M9" s="53">
        <f>'Returns '!C35</f>
        <v>150</v>
      </c>
    </row>
    <row r="10">
      <c r="B10" s="88">
        <v>105.0</v>
      </c>
      <c r="C10" s="89">
        <f t="shared" ref="C10:F10" si="4">($E$4/$B10)^(1/C$6)-1</f>
        <v>0.1641177265</v>
      </c>
      <c r="D10" s="89">
        <f t="shared" si="4"/>
        <v>0.1207214311</v>
      </c>
      <c r="E10" s="89">
        <f t="shared" si="4"/>
        <v>0.09546407941</v>
      </c>
      <c r="F10" s="89">
        <f t="shared" si="4"/>
        <v>0.07894287454</v>
      </c>
      <c r="L10" s="5" t="s">
        <v>172</v>
      </c>
      <c r="M10" s="53">
        <f>'Returns '!C37</f>
        <v>200</v>
      </c>
    </row>
    <row r="11">
      <c r="B11" s="88">
        <v>115.0</v>
      </c>
      <c r="C11" s="89">
        <f t="shared" ref="C11:F11" si="5">($E$4/$B11)^(1/C$6)-1</f>
        <v>0.09561476143</v>
      </c>
      <c r="D11" s="89">
        <f t="shared" si="5"/>
        <v>0.07088640752</v>
      </c>
      <c r="E11" s="89">
        <f t="shared" si="5"/>
        <v>0.05631810848</v>
      </c>
      <c r="F11" s="89">
        <f t="shared" si="5"/>
        <v>0.04671617998</v>
      </c>
    </row>
    <row r="12">
      <c r="B12" s="88">
        <v>125.0</v>
      </c>
      <c r="C12" s="89">
        <f t="shared" ref="C12:F12" si="6">($E$4/$B12)^(1/C$6)-1</f>
        <v>0.03637380293</v>
      </c>
      <c r="D12" s="89">
        <f t="shared" si="6"/>
        <v>0.02715815821</v>
      </c>
      <c r="E12" s="89">
        <f t="shared" si="6"/>
        <v>0.0216681529</v>
      </c>
      <c r="F12" s="89">
        <f t="shared" si="6"/>
        <v>0.01802446087</v>
      </c>
    </row>
    <row r="13">
      <c r="B13" s="78" t="s">
        <v>173</v>
      </c>
    </row>
    <row r="16">
      <c r="B16" s="13" t="s">
        <v>174</v>
      </c>
    </row>
    <row r="17">
      <c r="B17" s="5" t="s">
        <v>175</v>
      </c>
      <c r="C17" s="92" t="s">
        <v>37</v>
      </c>
      <c r="D17" s="53">
        <f>Projections!E8/10^6</f>
        <v>11.38614617</v>
      </c>
      <c r="E17" s="92" t="s">
        <v>35</v>
      </c>
      <c r="F17" s="53">
        <f>Projections!D8/10^6</f>
        <v>11.93679529</v>
      </c>
      <c r="G17" s="92" t="s">
        <v>28</v>
      </c>
      <c r="H17" s="53">
        <f>Projections!C8/10^6</f>
        <v>12.48744441</v>
      </c>
    </row>
    <row r="19" ht="30.0" customHeight="1">
      <c r="B19" s="67" t="s">
        <v>176</v>
      </c>
      <c r="C19" s="93">
        <v>4.0</v>
      </c>
      <c r="D19" s="93">
        <v>6.0</v>
      </c>
      <c r="E19" s="93">
        <v>8.0</v>
      </c>
      <c r="F19" s="93">
        <v>10.0</v>
      </c>
      <c r="G19" s="93">
        <v>12.0</v>
      </c>
      <c r="H19" s="93">
        <v>14.0</v>
      </c>
      <c r="J19" s="33" t="s">
        <v>180</v>
      </c>
      <c r="K19" s="68">
        <f>'Returns '!C4</f>
        <v>115</v>
      </c>
    </row>
    <row r="20" ht="15.75" customHeight="1">
      <c r="B20" s="94">
        <v>10.5</v>
      </c>
      <c r="C20" s="96">
        <f t="shared" ref="C20:H20" si="7">$B20*C$19</f>
        <v>42</v>
      </c>
      <c r="D20" s="96">
        <f t="shared" si="7"/>
        <v>63</v>
      </c>
      <c r="E20" s="96">
        <f t="shared" si="7"/>
        <v>84</v>
      </c>
      <c r="F20" s="96">
        <f t="shared" si="7"/>
        <v>105</v>
      </c>
      <c r="G20" s="96">
        <f t="shared" si="7"/>
        <v>126</v>
      </c>
      <c r="H20" s="96">
        <f t="shared" si="7"/>
        <v>147</v>
      </c>
      <c r="J20" s="33" t="s">
        <v>193</v>
      </c>
      <c r="K20" s="68">
        <f>'Returns '!C4*'Returns '!C9</f>
        <v>181.405711</v>
      </c>
    </row>
    <row r="21" ht="15.75" customHeight="1">
      <c r="B21" s="94">
        <v>11.0</v>
      </c>
      <c r="C21" s="96">
        <f t="shared" ref="C21:H21" si="8">$B21*C$19</f>
        <v>44</v>
      </c>
      <c r="D21" s="96">
        <f t="shared" si="8"/>
        <v>66</v>
      </c>
      <c r="E21" s="96">
        <f t="shared" si="8"/>
        <v>88</v>
      </c>
      <c r="F21" s="96">
        <f t="shared" si="8"/>
        <v>110</v>
      </c>
      <c r="G21" s="96">
        <f t="shared" si="8"/>
        <v>132</v>
      </c>
      <c r="H21" s="96">
        <f t="shared" si="8"/>
        <v>154</v>
      </c>
    </row>
    <row r="22" ht="15.75" customHeight="1">
      <c r="B22" s="94">
        <v>11.5</v>
      </c>
      <c r="C22" s="96">
        <f t="shared" ref="C22:H22" si="9">$B22*C$19</f>
        <v>46</v>
      </c>
      <c r="D22" s="96">
        <f t="shared" si="9"/>
        <v>69</v>
      </c>
      <c r="E22" s="96">
        <f t="shared" si="9"/>
        <v>92</v>
      </c>
      <c r="F22" s="96">
        <f t="shared" si="9"/>
        <v>115</v>
      </c>
      <c r="G22" s="96">
        <f t="shared" si="9"/>
        <v>138</v>
      </c>
      <c r="H22" s="96">
        <f t="shared" si="9"/>
        <v>161</v>
      </c>
    </row>
    <row r="23" ht="15.75" customHeight="1">
      <c r="B23" s="94">
        <v>12.0</v>
      </c>
      <c r="C23" s="96">
        <f t="shared" ref="C23:H23" si="10">$B23*C$19</f>
        <v>48</v>
      </c>
      <c r="D23" s="96">
        <f t="shared" si="10"/>
        <v>72</v>
      </c>
      <c r="E23" s="96">
        <f t="shared" si="10"/>
        <v>96</v>
      </c>
      <c r="F23" s="96">
        <f t="shared" si="10"/>
        <v>120</v>
      </c>
      <c r="G23" s="96">
        <f t="shared" si="10"/>
        <v>144</v>
      </c>
      <c r="H23" s="96">
        <f t="shared" si="10"/>
        <v>168</v>
      </c>
    </row>
    <row r="24" ht="15.75" customHeight="1">
      <c r="B24" s="94">
        <v>12.5</v>
      </c>
      <c r="C24" s="96">
        <f t="shared" ref="C24:H24" si="11">$B24*C$19</f>
        <v>50</v>
      </c>
      <c r="D24" s="96">
        <f t="shared" si="11"/>
        <v>75</v>
      </c>
      <c r="E24" s="96">
        <f t="shared" si="11"/>
        <v>100</v>
      </c>
      <c r="F24" s="96">
        <f t="shared" si="11"/>
        <v>125</v>
      </c>
      <c r="G24" s="96">
        <f t="shared" si="11"/>
        <v>150</v>
      </c>
      <c r="H24" s="96">
        <f t="shared" si="11"/>
        <v>175</v>
      </c>
    </row>
    <row r="25" ht="15.75" customHeight="1">
      <c r="B25" s="94">
        <v>13.0</v>
      </c>
      <c r="C25" s="96">
        <f t="shared" ref="C25:H25" si="12">$B25*C$19</f>
        <v>52</v>
      </c>
      <c r="D25" s="96">
        <f t="shared" si="12"/>
        <v>78</v>
      </c>
      <c r="E25" s="96">
        <f t="shared" si="12"/>
        <v>104</v>
      </c>
      <c r="F25" s="96">
        <f t="shared" si="12"/>
        <v>130</v>
      </c>
      <c r="G25" s="96">
        <f t="shared" si="12"/>
        <v>156</v>
      </c>
      <c r="H25" s="96">
        <f t="shared" si="12"/>
        <v>182</v>
      </c>
    </row>
    <row r="26" ht="15.75" customHeight="1">
      <c r="B26" s="78" t="s">
        <v>199</v>
      </c>
    </row>
    <row r="27" ht="15.75" customHeight="1"/>
    <row r="28" ht="15.75" customHeight="1"/>
    <row r="29" ht="15.75" customHeight="1">
      <c r="B29" s="13" t="s">
        <v>200</v>
      </c>
    </row>
    <row r="30" ht="15.75" customHeight="1">
      <c r="B30" s="78" t="s">
        <v>201</v>
      </c>
    </row>
    <row r="31" ht="30.0" customHeight="1">
      <c r="B31" s="67" t="s">
        <v>202</v>
      </c>
      <c r="C31" s="67" t="s">
        <v>28</v>
      </c>
      <c r="D31" s="67" t="s">
        <v>35</v>
      </c>
      <c r="E31" s="67" t="s">
        <v>37</v>
      </c>
      <c r="F31" s="67" t="s">
        <v>108</v>
      </c>
      <c r="G31" s="67" t="s">
        <v>172</v>
      </c>
    </row>
    <row r="32" ht="15.75" customHeight="1">
      <c r="B32" s="99">
        <v>0.0</v>
      </c>
      <c r="C32" s="89">
        <f>('Returns '!$C$20/'Returns '!$C$4*(1-$B32))^(1/'Returns '!$C$6)-1</f>
        <v>0.2711498156</v>
      </c>
      <c r="D32" s="89">
        <f>('Returns '!$C$21/'Returns '!$C$4*(1-$B32))^(1/'Returns '!$C$6)-1</f>
        <v>0.04693184075</v>
      </c>
      <c r="E32" s="89">
        <f>('Returns '!$C$22/'Returns '!$C$4*(1-$B32))^(1/'Returns '!$C$6)-1</f>
        <v>-0.2287127639</v>
      </c>
      <c r="F32" s="89">
        <f>('Returns '!$C$23/'Returns '!$C$4*(1-$B32))^(1/'Returns '!$C$6)-1</f>
        <v>0.05631810848</v>
      </c>
      <c r="G32" s="89">
        <f>('Returns '!$C$37/'Returns '!$C$4*(1-$B32))^(1/'Returns '!$C$6)-1</f>
        <v>0.2477651801</v>
      </c>
    </row>
    <row r="33" ht="15.75" customHeight="1">
      <c r="B33" s="99">
        <v>0.03</v>
      </c>
      <c r="C33" s="89">
        <f>('Returns '!$C$20/'Returns '!$C$4*(1-$B33))^(1/'Returns '!$C$6)-1</f>
        <v>0.2557564933</v>
      </c>
      <c r="D33" s="89">
        <f>('Returns '!$C$21/'Returns '!$C$4*(1-$B33))^(1/'Returns '!$C$6)-1</f>
        <v>0.03425374487</v>
      </c>
      <c r="E33" s="89">
        <f>('Returns '!$C$22/'Returns '!$C$4*(1-$B33))^(1/'Returns '!$C$6)-1</f>
        <v>-0.2380528691</v>
      </c>
      <c r="F33" s="89">
        <f>('Returns '!$C$23/'Returns '!$C$4*(1-$B33))^(1/'Returns '!$C$6)-1</f>
        <v>0.04352634713</v>
      </c>
      <c r="G33" s="89">
        <f>('Returns '!$C$37/'Returns '!$C$4*(1-$B33))^(1/'Returns '!$C$6)-1</f>
        <v>0.2326550402</v>
      </c>
    </row>
    <row r="34" ht="15.75" customHeight="1">
      <c r="B34" s="99">
        <v>0.05</v>
      </c>
      <c r="C34" s="89">
        <f>('Returns '!$C$20/'Returns '!$C$4*(1-$B34))^(1/'Returns '!$C$6)-1</f>
        <v>0.2453349622</v>
      </c>
      <c r="D34" s="89">
        <f>('Returns '!$C$21/'Returns '!$C$4*(1-$B34))^(1/'Returns '!$C$6)-1</f>
        <v>0.02567046654</v>
      </c>
      <c r="E34" s="89">
        <f>('Returns '!$C$22/'Returns '!$C$4*(1-$B34))^(1/'Returns '!$C$6)-1</f>
        <v>-0.2443762731</v>
      </c>
      <c r="F34" s="89">
        <f>('Returns '!$C$23/'Returns '!$C$4*(1-$B34))^(1/'Returns '!$C$6)-1</f>
        <v>0.03486611541</v>
      </c>
      <c r="G34" s="89">
        <f>('Returns '!$C$37/'Returns '!$C$4*(1-$B34))^(1/'Returns '!$C$6)-1</f>
        <v>0.2224252283</v>
      </c>
    </row>
    <row r="35" ht="15.75" customHeight="1">
      <c r="B35" s="99">
        <v>0.1</v>
      </c>
      <c r="C35" s="89">
        <f>('Returns '!$C$20/'Returns '!$C$4*(1-$B35))^(1/'Returns '!$C$6)-1</f>
        <v>0.2186913891</v>
      </c>
      <c r="D35" s="89">
        <f>('Returns '!$C$21/'Returns '!$C$4*(1-$B35))^(1/'Returns '!$C$6)-1</f>
        <v>0.003726550327</v>
      </c>
      <c r="E35" s="89">
        <f>('Returns '!$C$22/'Returns '!$C$4*(1-$B35))^(1/'Returns '!$C$6)-1</f>
        <v>-0.2605426192</v>
      </c>
      <c r="F35" s="89">
        <f>('Returns '!$C$23/'Returns '!$C$4*(1-$B35))^(1/'Returns '!$C$6)-1</f>
        <v>0.01272546101</v>
      </c>
      <c r="G35" s="89">
        <f>('Returns '!$C$37/'Returns '!$C$4*(1-$B35))^(1/'Returns '!$C$6)-1</f>
        <v>0.1962718021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C7:F12">
    <cfRule type="expression" dxfId="0" priority="1">
      <formula>C7&gt;=$G$4</formula>
    </cfRule>
  </conditionalFormatting>
  <conditionalFormatting sqref="C7:F12">
    <cfRule type="expression" dxfId="1" priority="2">
      <formula>C7&lt;0</formula>
    </cfRule>
  </conditionalFormatting>
  <conditionalFormatting sqref="C20:H25">
    <cfRule type="expression" dxfId="0" priority="3">
      <formula>C20&gt;=$K$20</formula>
    </cfRule>
  </conditionalFormatting>
  <conditionalFormatting sqref="C20:H25">
    <cfRule type="expression" dxfId="1" priority="4">
      <formula>C20&lt;$K$19</formula>
    </cfRule>
  </conditionalFormatting>
  <conditionalFormatting sqref="C32:G35">
    <cfRule type="expression" dxfId="0" priority="5">
      <formula>C32&gt;=$G$4</formula>
    </cfRule>
  </conditionalFormatting>
  <conditionalFormatting sqref="C32:G35">
    <cfRule type="expression" dxfId="1" priority="6">
      <formula>C32&lt;0</formula>
    </cfRule>
  </conditionalFormatting>
  <dataValidations>
    <dataValidation type="list" allowBlank="1" sqref="C4">
      <formula1>$L$5:$L$10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6.0"/>
    <col customWidth="1" min="3" max="3" width="9.0"/>
    <col customWidth="1" min="4" max="4" width="13.0"/>
    <col customWidth="1" min="5" max="5" width="11.0"/>
    <col customWidth="1" min="6" max="7" width="13.0"/>
    <col customWidth="1" min="8" max="8" width="12.0"/>
    <col customWidth="1" min="9" max="10" width="14.0"/>
    <col customWidth="1" min="11" max="12" width="11.0"/>
    <col customWidth="1" min="13" max="13" width="22.0"/>
    <col customWidth="1" min="14" max="26" width="8.5"/>
  </cols>
  <sheetData>
    <row r="1">
      <c r="B1" s="79" t="s">
        <v>177</v>
      </c>
    </row>
    <row r="2">
      <c r="B2" s="91" t="s">
        <v>178</v>
      </c>
    </row>
    <row r="4" ht="43.5" customHeight="1">
      <c r="B4" s="67" t="s">
        <v>20</v>
      </c>
      <c r="C4" s="67" t="s">
        <v>179</v>
      </c>
      <c r="D4" s="67" t="s">
        <v>181</v>
      </c>
      <c r="E4" s="67" t="s">
        <v>182</v>
      </c>
      <c r="F4" s="67" t="s">
        <v>183</v>
      </c>
      <c r="G4" s="67" t="s">
        <v>184</v>
      </c>
      <c r="H4" s="67" t="s">
        <v>185</v>
      </c>
      <c r="I4" s="67" t="s">
        <v>186</v>
      </c>
      <c r="J4" s="67" t="s">
        <v>187</v>
      </c>
      <c r="K4" s="67" t="s">
        <v>188</v>
      </c>
      <c r="L4" s="67" t="s">
        <v>189</v>
      </c>
      <c r="M4" s="67" t="s">
        <v>190</v>
      </c>
    </row>
    <row r="5">
      <c r="B5" s="13" t="s">
        <v>191</v>
      </c>
      <c r="C5" s="5" t="s">
        <v>192</v>
      </c>
      <c r="D5" s="95">
        <v>45791.0</v>
      </c>
      <c r="E5" s="97">
        <v>52.0</v>
      </c>
      <c r="F5" s="53">
        <v>4.2</v>
      </c>
      <c r="G5" s="97">
        <v>24.39</v>
      </c>
      <c r="H5" s="51">
        <f t="shared" ref="H5:H7" si="1">G5/E5-1</f>
        <v>-0.5309615385</v>
      </c>
      <c r="I5" s="97">
        <v>1.94</v>
      </c>
      <c r="J5" s="51">
        <f t="shared" ref="J5:J7" si="2">I5/F5-1</f>
        <v>-0.5380952381</v>
      </c>
      <c r="K5" s="98">
        <v>0.16</v>
      </c>
      <c r="L5" s="98">
        <v>2.13</v>
      </c>
      <c r="M5" s="32" t="s">
        <v>194</v>
      </c>
    </row>
    <row r="6">
      <c r="B6" s="13" t="s">
        <v>195</v>
      </c>
      <c r="C6" s="5" t="s">
        <v>196</v>
      </c>
      <c r="D6" s="95">
        <v>45820.0</v>
      </c>
      <c r="E6" s="97">
        <v>27.0</v>
      </c>
      <c r="F6" s="53">
        <v>11.6</v>
      </c>
      <c r="G6" s="97">
        <v>29.67</v>
      </c>
      <c r="H6" s="51">
        <f t="shared" si="1"/>
        <v>0.09888888889</v>
      </c>
      <c r="I6" s="97">
        <v>11.23</v>
      </c>
      <c r="J6" s="51">
        <f t="shared" si="2"/>
        <v>-0.03189655172</v>
      </c>
      <c r="K6" s="98">
        <v>4.57</v>
      </c>
      <c r="L6" s="98">
        <v>3.67</v>
      </c>
      <c r="M6" s="32" t="s">
        <v>194</v>
      </c>
    </row>
    <row r="7">
      <c r="B7" s="13" t="s">
        <v>197</v>
      </c>
      <c r="C7" s="5" t="s">
        <v>198</v>
      </c>
      <c r="D7" s="95">
        <v>45910.0</v>
      </c>
      <c r="E7" s="97">
        <v>40.0</v>
      </c>
      <c r="F7" s="53">
        <v>15.2</v>
      </c>
      <c r="G7" s="97">
        <v>13.02</v>
      </c>
      <c r="H7" s="51">
        <f t="shared" si="1"/>
        <v>-0.6745</v>
      </c>
      <c r="I7" s="97">
        <v>4.94</v>
      </c>
      <c r="J7" s="51">
        <f t="shared" si="2"/>
        <v>-0.675</v>
      </c>
      <c r="K7" s="98">
        <v>1.22</v>
      </c>
      <c r="L7" s="98">
        <v>1.15</v>
      </c>
      <c r="M7" s="32" t="s">
        <v>194</v>
      </c>
    </row>
    <row r="8">
      <c r="B8" s="13" t="s">
        <v>160</v>
      </c>
      <c r="H8" s="77">
        <f>AVERAGE(H5:H7)</f>
        <v>-0.3688575499</v>
      </c>
      <c r="J8" s="77">
        <f>AVERAGE(J5:J7)</f>
        <v>-0.4149972633</v>
      </c>
    </row>
    <row r="9">
      <c r="B9" s="13" t="s">
        <v>203</v>
      </c>
      <c r="H9" s="77">
        <f>MEDIAN(H5:H7)</f>
        <v>-0.5309615385</v>
      </c>
      <c r="J9" s="77">
        <f t="shared" ref="J9:L9" si="3">MEDIAN(J5:J7)</f>
        <v>-0.5380952381</v>
      </c>
      <c r="K9" s="100">
        <f t="shared" si="3"/>
        <v>1.22</v>
      </c>
      <c r="L9" s="100">
        <f t="shared" si="3"/>
        <v>2.13</v>
      </c>
    </row>
    <row r="11">
      <c r="B11" s="13" t="s">
        <v>204</v>
      </c>
      <c r="F11" s="56">
        <f>'Returns '!C4</f>
        <v>115</v>
      </c>
      <c r="K11" s="101">
        <f>Peers!H11</f>
        <v>19.29265931</v>
      </c>
      <c r="L11" s="101">
        <f>Peers!I11</f>
        <v>12.77777778</v>
      </c>
    </row>
    <row r="13">
      <c r="B13" s="13" t="s">
        <v>205</v>
      </c>
    </row>
    <row r="14">
      <c r="B14" s="5" t="s">
        <v>206</v>
      </c>
    </row>
    <row r="15">
      <c r="B15" s="5" t="s">
        <v>207</v>
      </c>
    </row>
    <row r="16">
      <c r="B16" s="5" t="s">
        <v>208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2" ref="M5"/>
    <hyperlink r:id="rId3" ref="M6"/>
    <hyperlink r:id="rId4" ref="M7"/>
  </hyperlinks>
  <printOptions/>
  <pageMargins bottom="1.0" footer="0.0" header="0.0" left="0.75" right="0.75" top="1.0"/>
  <pageSetup paperSize="9" orientation="portrait"/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1.0"/>
    <col customWidth="1" min="3" max="3" width="40.0"/>
    <col customWidth="1" min="4" max="5" width="12.0"/>
    <col customWidth="1" min="6" max="6" width="10.0"/>
    <col customWidth="1" min="7" max="7" width="52.0"/>
    <col customWidth="1" min="8" max="8" width="12.0"/>
    <col customWidth="1" min="9" max="10" width="14.0"/>
    <col customWidth="1" min="11" max="11" width="34.0"/>
    <col customWidth="1" min="12" max="26" width="8.5"/>
  </cols>
  <sheetData>
    <row r="1">
      <c r="B1" s="79" t="s">
        <v>209</v>
      </c>
    </row>
    <row r="2">
      <c r="B2" s="78"/>
    </row>
    <row r="4" ht="43.5" customHeight="1">
      <c r="B4" s="67" t="s">
        <v>210</v>
      </c>
      <c r="C4" s="67" t="s">
        <v>211</v>
      </c>
      <c r="D4" s="67" t="s">
        <v>212</v>
      </c>
      <c r="E4" s="67" t="s">
        <v>213</v>
      </c>
      <c r="F4" s="67" t="s">
        <v>214</v>
      </c>
      <c r="G4" s="67" t="s">
        <v>215</v>
      </c>
      <c r="H4" s="67" t="s">
        <v>216</v>
      </c>
      <c r="I4" s="67" t="s">
        <v>217</v>
      </c>
      <c r="J4" s="67" t="s">
        <v>218</v>
      </c>
      <c r="K4" s="67" t="s">
        <v>190</v>
      </c>
    </row>
    <row r="5" ht="15.0" customHeight="1">
      <c r="B5" s="102">
        <v>43215.0</v>
      </c>
      <c r="C5" s="103" t="s">
        <v>219</v>
      </c>
      <c r="D5" s="104" t="s">
        <v>220</v>
      </c>
      <c r="E5" s="105">
        <v>1.7</v>
      </c>
      <c r="F5" s="106">
        <v>250.0</v>
      </c>
      <c r="G5" s="107" t="s">
        <v>221</v>
      </c>
      <c r="K5" s="108" t="s">
        <v>222</v>
      </c>
    </row>
    <row r="6" ht="15.0" customHeight="1">
      <c r="B6" s="102">
        <v>43885.0</v>
      </c>
      <c r="C6" s="103" t="s">
        <v>223</v>
      </c>
      <c r="D6" s="104" t="s">
        <v>220</v>
      </c>
      <c r="E6" s="105">
        <v>5.5</v>
      </c>
      <c r="F6" s="106">
        <v>500.0</v>
      </c>
      <c r="G6" s="107" t="s">
        <v>224</v>
      </c>
      <c r="H6" s="109">
        <f t="shared" ref="H6:H11" si="1">E6/E5-1</f>
        <v>2.235294118</v>
      </c>
      <c r="K6" s="108" t="s">
        <v>225</v>
      </c>
    </row>
    <row r="7" ht="28.5" customHeight="1">
      <c r="B7" s="102">
        <v>44392.0</v>
      </c>
      <c r="C7" s="103" t="s">
        <v>226</v>
      </c>
      <c r="D7" s="104" t="s">
        <v>220</v>
      </c>
      <c r="E7" s="105">
        <v>33.0</v>
      </c>
      <c r="F7" s="106">
        <v>800.0</v>
      </c>
      <c r="G7" s="107" t="s">
        <v>227</v>
      </c>
      <c r="H7" s="109">
        <f t="shared" si="1"/>
        <v>5</v>
      </c>
      <c r="K7" s="108" t="s">
        <v>228</v>
      </c>
    </row>
    <row r="8" ht="42.0" customHeight="1">
      <c r="B8" s="102">
        <v>45505.0</v>
      </c>
      <c r="C8" s="103" t="s">
        <v>229</v>
      </c>
      <c r="D8" s="104" t="s">
        <v>230</v>
      </c>
      <c r="E8" s="105">
        <v>45.0</v>
      </c>
      <c r="F8" s="106" t="s">
        <v>231</v>
      </c>
      <c r="G8" s="107" t="s">
        <v>232</v>
      </c>
      <c r="H8" s="109">
        <f t="shared" si="1"/>
        <v>0.3636363636</v>
      </c>
      <c r="I8" s="110">
        <f>'Financial Summary '!D20/10^6</f>
        <v>2.2293836</v>
      </c>
      <c r="J8" s="111">
        <f t="shared" ref="J8:J11" si="2">E8/I8</f>
        <v>20.18495157</v>
      </c>
      <c r="K8" s="104" t="s">
        <v>236</v>
      </c>
    </row>
    <row r="9" ht="28.5" customHeight="1">
      <c r="B9" s="102">
        <v>45985.0</v>
      </c>
      <c r="C9" s="103" t="s">
        <v>237</v>
      </c>
      <c r="D9" s="104" t="s">
        <v>238</v>
      </c>
      <c r="E9" s="105">
        <v>75.0</v>
      </c>
      <c r="F9" s="106" t="s">
        <v>231</v>
      </c>
      <c r="G9" s="107" t="s">
        <v>239</v>
      </c>
      <c r="H9" s="109">
        <f t="shared" si="1"/>
        <v>0.6666666667</v>
      </c>
      <c r="I9" s="110">
        <f>'Financial Summary '!E20/10^6</f>
        <v>3.95525504</v>
      </c>
      <c r="J9" s="111">
        <f t="shared" si="2"/>
        <v>18.96211477</v>
      </c>
      <c r="K9" s="104" t="s">
        <v>241</v>
      </c>
    </row>
    <row r="10" ht="28.5" customHeight="1">
      <c r="B10" s="102">
        <v>46225.0</v>
      </c>
      <c r="C10" s="103" t="s">
        <v>242</v>
      </c>
      <c r="D10" s="104" t="s">
        <v>230</v>
      </c>
      <c r="E10" s="105">
        <v>115.0</v>
      </c>
      <c r="F10" s="114" t="s">
        <v>231</v>
      </c>
      <c r="G10" s="115" t="s">
        <v>244</v>
      </c>
      <c r="H10" s="109">
        <f t="shared" si="1"/>
        <v>0.5333333333</v>
      </c>
      <c r="I10" s="110">
        <f>'Financial Summary '!F20/10^6</f>
        <v>5.9608164</v>
      </c>
      <c r="J10" s="111">
        <f t="shared" si="2"/>
        <v>19.29265931</v>
      </c>
      <c r="K10" s="108" t="s">
        <v>246</v>
      </c>
    </row>
    <row r="11" ht="15.0" customHeight="1">
      <c r="B11" s="102">
        <v>46310.0</v>
      </c>
      <c r="C11" s="103" t="s">
        <v>250</v>
      </c>
      <c r="D11" s="104" t="s">
        <v>251</v>
      </c>
      <c r="E11" s="105">
        <v>121.2</v>
      </c>
      <c r="F11" s="106" t="s">
        <v>253</v>
      </c>
      <c r="G11" s="107" t="s">
        <v>254</v>
      </c>
      <c r="H11" s="109">
        <f t="shared" si="1"/>
        <v>0.05391304348</v>
      </c>
      <c r="I11" s="110">
        <f>'Financial Summary '!F20/10^6</f>
        <v>5.9608164</v>
      </c>
      <c r="J11" s="111">
        <f t="shared" si="2"/>
        <v>20.33278529</v>
      </c>
      <c r="K11" s="108" t="s">
        <v>257</v>
      </c>
    </row>
    <row r="13">
      <c r="B13" s="13" t="s">
        <v>262</v>
      </c>
      <c r="H13" s="77">
        <f>(E10/E7)^(1/YEARFRAC(B7,B10))-1</f>
        <v>0.2823799378</v>
      </c>
    </row>
    <row r="14">
      <c r="B14" s="13" t="s">
        <v>265</v>
      </c>
      <c r="E14" s="74">
        <v>150.0</v>
      </c>
      <c r="F14" s="74">
        <v>200.0</v>
      </c>
    </row>
    <row r="15">
      <c r="B15" s="13" t="s">
        <v>267</v>
      </c>
      <c r="E15" s="38">
        <f>E14/E10-1</f>
        <v>0.3043478261</v>
      </c>
      <c r="F15" s="38">
        <f>F14/E10-1</f>
        <v>0.7391304348</v>
      </c>
    </row>
    <row r="17">
      <c r="B17" s="13" t="s">
        <v>269</v>
      </c>
    </row>
    <row r="18">
      <c r="B18" s="5" t="s">
        <v>271</v>
      </c>
    </row>
    <row r="19">
      <c r="B19" s="5" t="s"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K5"/>
    <hyperlink r:id="rId3" ref="K6"/>
    <hyperlink r:id="rId4" ref="K7"/>
    <hyperlink r:id="rId5" ref="K10"/>
    <hyperlink r:id="rId6" ref="K11"/>
  </hyperlinks>
  <printOptions/>
  <pageMargins bottom="1.0" footer="0.0" header="0.0" left="0.75" right="0.75" top="1.0"/>
  <pageSetup paperSize="9" orientation="portrait"/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52.0"/>
    <col customWidth="1" min="3" max="4" width="22.0"/>
    <col customWidth="1" min="5" max="26" width="8.5"/>
  </cols>
  <sheetData>
    <row r="1">
      <c r="B1" s="79" t="s">
        <v>233</v>
      </c>
    </row>
    <row r="3">
      <c r="B3" s="13" t="s">
        <v>234</v>
      </c>
    </row>
    <row r="4">
      <c r="B4" s="5" t="s">
        <v>235</v>
      </c>
      <c r="C4" s="112">
        <f>'Financial Summary '!G20</f>
        <v>9000000</v>
      </c>
    </row>
    <row r="5">
      <c r="B5" s="5" t="s">
        <v>240</v>
      </c>
      <c r="C5" s="113">
        <f>'Financial Summary '!G5</f>
        <v>1.32</v>
      </c>
    </row>
    <row r="6">
      <c r="B6" s="5" t="s">
        <v>243</v>
      </c>
      <c r="C6" s="51">
        <f>'Financial Summary '!G10</f>
        <v>0.5098602936</v>
      </c>
    </row>
    <row r="7">
      <c r="B7" s="5" t="s">
        <v>245</v>
      </c>
      <c r="C7" s="51">
        <f>'Financial Summary '!F10</f>
        <v>0.4613939029</v>
      </c>
    </row>
    <row r="8">
      <c r="B8" s="5" t="s">
        <v>247</v>
      </c>
      <c r="C8" s="51">
        <f>'Financial Summary '!F33</f>
        <v>0.2327381555</v>
      </c>
    </row>
    <row r="9">
      <c r="B9" s="5" t="s">
        <v>248</v>
      </c>
      <c r="C9" s="51">
        <f>'Financial Summary '!G23</f>
        <v>0.3888888889</v>
      </c>
    </row>
    <row r="10">
      <c r="B10" s="5" t="s">
        <v>249</v>
      </c>
      <c r="C10" s="51">
        <f>'Financial Summary '!F14</f>
        <v>0.379397755</v>
      </c>
    </row>
    <row r="12">
      <c r="B12" s="13" t="s">
        <v>252</v>
      </c>
    </row>
    <row r="13">
      <c r="B13" s="5" t="s">
        <v>255</v>
      </c>
      <c r="C13" s="56">
        <f>'Financial Summary '!E30</f>
        <v>52.5</v>
      </c>
    </row>
    <row r="14">
      <c r="B14" s="5" t="s">
        <v>256</v>
      </c>
      <c r="C14" s="56">
        <f>'Financial Summary '!F30</f>
        <v>68.3</v>
      </c>
    </row>
    <row r="15">
      <c r="B15" s="5" t="s">
        <v>258</v>
      </c>
      <c r="C15" s="53">
        <v>75.0</v>
      </c>
    </row>
    <row r="16">
      <c r="B16" s="5" t="s">
        <v>259</v>
      </c>
      <c r="C16" s="116">
        <v>85.0</v>
      </c>
    </row>
    <row r="17">
      <c r="B17" s="5" t="s">
        <v>260</v>
      </c>
      <c r="C17" s="56">
        <f>AVERAGE(C13,C14)</f>
        <v>60.4</v>
      </c>
    </row>
    <row r="18">
      <c r="B18" s="5" t="s">
        <v>261</v>
      </c>
      <c r="C18" s="56">
        <f>AVERAGE(C14,C16)</f>
        <v>76.65</v>
      </c>
    </row>
    <row r="19">
      <c r="B19" s="5" t="s">
        <v>263</v>
      </c>
      <c r="C19" s="51">
        <f>C18/C17-1</f>
        <v>0.2690397351</v>
      </c>
    </row>
    <row r="20" ht="15.75" customHeight="1"/>
    <row r="21" ht="15.75" customHeight="1">
      <c r="B21" s="13" t="s">
        <v>264</v>
      </c>
    </row>
    <row r="22" ht="15.75" customHeight="1">
      <c r="B22" s="13" t="s">
        <v>266</v>
      </c>
      <c r="C22" s="77">
        <f>(1+C6)/(1+C19)-1</f>
        <v>0.1897659718</v>
      </c>
    </row>
    <row r="23" ht="15.75" customHeight="1">
      <c r="B23" s="5" t="s">
        <v>268</v>
      </c>
      <c r="C23" s="51">
        <f>'Financial Summary '!F32</f>
        <v>0.09483566403</v>
      </c>
    </row>
    <row r="24" ht="15.75" customHeight="1">
      <c r="B24" s="5" t="s">
        <v>270</v>
      </c>
      <c r="C24" s="101">
        <f>C22/C23</f>
        <v>2.000997976</v>
      </c>
    </row>
    <row r="25" ht="15.75" customHeight="1"/>
    <row r="26" ht="15.75" customHeight="1">
      <c r="B26" s="13" t="s">
        <v>273</v>
      </c>
    </row>
    <row r="27" ht="30.0" customHeight="1">
      <c r="B27" s="67" t="s">
        <v>274</v>
      </c>
      <c r="C27" s="67" t="s">
        <v>263</v>
      </c>
      <c r="D27" s="67" t="s">
        <v>275</v>
      </c>
    </row>
    <row r="28" ht="15.75" customHeight="1">
      <c r="B28" s="117">
        <v>80.0</v>
      </c>
      <c r="C28" s="89">
        <f t="shared" ref="C28:C31" si="1">AVERAGE($C$14,B28)/$C$17-1</f>
        <v>0.2276490066</v>
      </c>
      <c r="D28" s="89">
        <f t="shared" ref="D28:D31" si="2">(1+$C$6)/(1+C28)-1</f>
        <v>0.229879457</v>
      </c>
    </row>
    <row r="29" ht="15.75" customHeight="1">
      <c r="B29" s="117">
        <v>85.0</v>
      </c>
      <c r="C29" s="89">
        <f t="shared" si="1"/>
        <v>0.2690397351</v>
      </c>
      <c r="D29" s="89">
        <f t="shared" si="2"/>
        <v>0.1897659718</v>
      </c>
    </row>
    <row r="30" ht="15.75" customHeight="1">
      <c r="B30" s="117">
        <v>90.0</v>
      </c>
      <c r="C30" s="89">
        <f t="shared" si="1"/>
        <v>0.3104304636</v>
      </c>
      <c r="D30" s="89">
        <f t="shared" si="2"/>
        <v>0.1521865033</v>
      </c>
    </row>
    <row r="31" ht="15.75" customHeight="1">
      <c r="B31" s="117">
        <v>95.0</v>
      </c>
      <c r="C31" s="89">
        <f t="shared" si="1"/>
        <v>0.3518211921</v>
      </c>
      <c r="D31" s="89">
        <f t="shared" si="2"/>
        <v>0.1169082882</v>
      </c>
    </row>
    <row r="32" ht="15.75" customHeight="1"/>
    <row r="33" ht="15.75" customHeight="1">
      <c r="B33" s="13" t="s">
        <v>276</v>
      </c>
    </row>
    <row r="34" ht="15.75" customHeight="1">
      <c r="B34" s="5" t="s">
        <v>277</v>
      </c>
    </row>
    <row r="35" ht="15.75" customHeight="1">
      <c r="B35" s="15" t="s">
        <v>278</v>
      </c>
    </row>
    <row r="36" ht="15.75" customHeight="1">
      <c r="B36" s="5" t="s">
        <v>279</v>
      </c>
    </row>
    <row r="37" ht="15.75" customHeight="1">
      <c r="B37" s="5" t="s">
        <v>280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2026-10-10T18:46:37Z</dcterms:created>
  <dc:creator>Emerson Walker</dc:creator>
</cp:coreProperties>
</file>